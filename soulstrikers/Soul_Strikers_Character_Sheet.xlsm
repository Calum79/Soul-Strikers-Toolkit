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b212162cca3b1df/Desktop/soulstrikers/"/>
    </mc:Choice>
  </mc:AlternateContent>
  <xr:revisionPtr revIDLastSave="418" documentId="13_ncr:1_{0D0D2944-53BC-47E3-9266-288954271154}" xr6:coauthVersionLast="47" xr6:coauthVersionMax="47" xr10:uidLastSave="{E829FA0D-A2BF-4CC4-8802-4AC2E081BECA}"/>
  <bookViews>
    <workbookView xWindow="28680" yWindow="-120" windowWidth="29040" windowHeight="15840" xr2:uid="{00000000-000D-0000-FFFF-FFFF00000000}"/>
  </bookViews>
  <sheets>
    <sheet name="Character Stat Sheet" sheetId="1" r:id="rId1"/>
    <sheet name="SoulStrikerData1" sheetId="12" r:id="rId2"/>
    <sheet name="Spell Builder v1.0" sheetId="2" r:id="rId3"/>
    <sheet name="Using the spell builder" sheetId="4" r:id="rId4"/>
    <sheet name="Descriptions and other" sheetId="3" r:id="rId5"/>
  </sheets>
  <definedNames>
    <definedName name="ExternalData_1" localSheetId="1" hidden="1">SoulStrikerData1!$A$1:$B$82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0" i="1" l="1"/>
  <c r="X6" i="1"/>
  <c r="C11" i="12"/>
  <c r="C12" i="12"/>
  <c r="C10" i="12"/>
  <c r="M3" i="1"/>
  <c r="M2" i="1"/>
  <c r="V16" i="1"/>
  <c r="I2" i="1"/>
  <c r="V15" i="1"/>
  <c r="C2" i="12"/>
  <c r="V4" i="1" s="1"/>
  <c r="C3" i="12"/>
  <c r="V5" i="1" s="1"/>
  <c r="B54" i="1" s="1"/>
  <c r="C4" i="12"/>
  <c r="V6" i="1" s="1"/>
  <c r="C5" i="12"/>
  <c r="V7" i="1" s="1"/>
  <c r="C6" i="12"/>
  <c r="V8" i="1" s="1"/>
  <c r="C7" i="12"/>
  <c r="V9" i="1" s="1"/>
  <c r="C8" i="12"/>
  <c r="V10" i="1" s="1"/>
  <c r="C9" i="12"/>
  <c r="V11" i="1" s="1"/>
  <c r="V18" i="1"/>
  <c r="D24" i="1" l="1"/>
  <c r="D17" i="1"/>
  <c r="D23" i="1"/>
  <c r="D14" i="1"/>
  <c r="D30" i="1"/>
  <c r="D27" i="1"/>
  <c r="D12" i="1"/>
  <c r="D22" i="1"/>
  <c r="D16" i="1"/>
  <c r="D29" i="1"/>
  <c r="D21" i="1"/>
  <c r="D13" i="1"/>
  <c r="D26" i="1"/>
  <c r="D25" i="1"/>
  <c r="D18" i="1"/>
  <c r="D32" i="1"/>
  <c r="D15" i="1"/>
  <c r="D28" i="1"/>
  <c r="B52" i="1"/>
  <c r="D31" i="1"/>
  <c r="D19" i="1"/>
  <c r="D20" i="1"/>
  <c r="B53" i="1"/>
  <c r="B5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8453AD1-BFE6-4F9C-B9FA-33D4B8A66094}" keepAlive="1" name="Query - SoulStrikerData1" description="Connection to the 'SoulStrikerData1' query in the workbook." type="5" refreshedVersion="8" background="1" refreshOnLoad="1" saveData="1">
    <dbPr connection="Provider=Microsoft.Mashup.OleDb.1;Data Source=$Workbook$;Location=SoulStrikerData1;Extended Properties=&quot;&quot;" command="SELECT * FROM [SoulStrikerData1]"/>
  </connection>
  <connection id="2" xr16:uid="{5EE425B6-4DDF-4420-A949-7A1214C67DFA}" keepAlive="1" name="Query - SoulStrikerData1 (10)" description="Connection to the 'SoulStrikerData1 (10)' query in the workbook." type="5" refreshedVersion="8" background="1" saveData="1">
    <dbPr connection="Provider=Microsoft.Mashup.OleDb.1;Data Source=$Workbook$;Location=&quot;SoulStrikerData1 (10)&quot;;Extended Properties=&quot;&quot;" command="SELECT * FROM [SoulStrikerData1 (10)]"/>
  </connection>
  <connection id="3" xr16:uid="{CFF16A54-33D2-45E9-9615-1D8C554F3A09}" keepAlive="1" name="Query - SoulStrikerData1 (2)" description="Connection to the 'SoulStrikerData1 (2)' query in the workbook." type="5" refreshedVersion="0" background="1" saveData="1">
    <dbPr connection="Provider=Microsoft.Mashup.OleDb.1;Data Source=$Workbook$;Location=&quot;SoulStrikerData1 (2)&quot;;Extended Properties=&quot;&quot;" command="SELECT * FROM [SoulStrikerData1 (2)]"/>
  </connection>
  <connection id="4" xr16:uid="{1FEDEDAB-25F3-40CE-9EB8-C2C4A9E2E78B}" keepAlive="1" name="Query - SoulStrikerData1 (3)" description="Connection to the 'SoulStrikerData1 (3)' query in the workbook." type="5" refreshedVersion="8" background="1" refreshOnLoad="1" saveData="1">
    <dbPr connection="Provider=Microsoft.Mashup.OleDb.1;Data Source=$Workbook$;Location=&quot;SoulStrikerData1 (3)&quot;;Extended Properties=&quot;&quot;" command="SELECT * FROM [SoulStrikerData1 (3)]"/>
  </connection>
  <connection id="5" xr16:uid="{C0A9F533-9D32-4F51-8D26-74DBE54FF702}" keepAlive="1" name="Query - SoulStrikerData1 (4)" description="Connection to the 'SoulStrikerData1 (4)' query in the workbook." type="5" refreshedVersion="0" background="1" saveData="1">
    <dbPr connection="Provider=Microsoft.Mashup.OleDb.1;Data Source=$Workbook$;Location=&quot;SoulStrikerData1 (4)&quot;;Extended Properties=&quot;&quot;" command="SELECT * FROM [SoulStrikerData1 (4)]"/>
  </connection>
  <connection id="6" xr16:uid="{36CF03DB-D073-4297-9084-C24608FB83CC}" keepAlive="1" name="Query - SoulStrikerData1 (5)" description="Connection to the 'SoulStrikerData1 (5)' query in the workbook." type="5" refreshedVersion="0" background="1" saveData="1">
    <dbPr connection="Provider=Microsoft.Mashup.OleDb.1;Data Source=$Workbook$;Location=&quot;SoulStrikerData1 (5)&quot;;Extended Properties=&quot;&quot;" command="SELECT * FROM [SoulStrikerData1 (5)]"/>
  </connection>
  <connection id="7" xr16:uid="{7E2607A2-CD7E-4B57-9A7F-AEBF99DD766C}" keepAlive="1" name="Query - SoulStrikerData1 (6)" description="Connection to the 'SoulStrikerData1 (6)' query in the workbook." type="5" refreshedVersion="0" background="1" saveData="1">
    <dbPr connection="Provider=Microsoft.Mashup.OleDb.1;Data Source=$Workbook$;Location=&quot;SoulStrikerData1 (6)&quot;;Extended Properties=&quot;&quot;" command="SELECT * FROM [SoulStrikerData1 (6)]"/>
  </connection>
  <connection id="8" xr16:uid="{10B7E9E7-5188-481F-A113-FF8FA16D629F}" keepAlive="1" name="Query - SoulStrikerData1 (7)" description="Connection to the 'SoulStrikerData1 (7)' query in the workbook." type="5" refreshedVersion="8" background="1" refreshOnLoad="1" saveData="1">
    <dbPr connection="Provider=Microsoft.Mashup.OleDb.1;Data Source=$Workbook$;Location=&quot;SoulStrikerData1 (7)&quot;;Extended Properties=&quot;&quot;" command="SELECT * FROM [SoulStrikerData1 (7)]"/>
  </connection>
  <connection id="9" xr16:uid="{9418D121-5234-40EA-97C4-1A945CF3091D}" keepAlive="1" name="Query - SoulStrikerData1 (8)" description="Connection to the 'SoulStrikerData1 (8)' query in the workbook." type="5" refreshedVersion="0" background="1">
    <dbPr connection="Provider=Microsoft.Mashup.OleDb.1;Data Source=$Workbook$;Location=&quot;SoulStrikerData1 (8)&quot;;Extended Properties=&quot;&quot;" command="SELECT * FROM [SoulStrikerData1 (8)]"/>
  </connection>
  <connection id="10" xr16:uid="{FC62D762-9B3F-4B6E-A358-7BC49052DFA9}" keepAlive="1" name="Query - SoulStrikerData1 (9)" description="Connection to the 'SoulStrikerData1 (9)' query in the workbook." type="5" refreshedVersion="0" background="1" saveData="1">
    <dbPr connection="Provider=Microsoft.Mashup.OleDb.1;Data Source=$Workbook$;Location=&quot;SoulStrikerData1 (9)&quot;;Extended Properties=&quot;&quot;" command="SELECT * FROM [SoulStrikerData1 (9)]"/>
  </connection>
</connections>
</file>

<file path=xl/sharedStrings.xml><?xml version="1.0" encoding="utf-8"?>
<sst xmlns="http://schemas.openxmlformats.org/spreadsheetml/2006/main" count="712" uniqueCount="307">
  <si>
    <t>NAME:_______________________________</t>
  </si>
  <si>
    <t>TRANSFIGURATION:______________________</t>
  </si>
  <si>
    <t>MORALITY:_________________</t>
  </si>
  <si>
    <t>Animal Handling</t>
  </si>
  <si>
    <t>Athletics</t>
  </si>
  <si>
    <t>Disguise</t>
  </si>
  <si>
    <t>History</t>
  </si>
  <si>
    <t>Insight</t>
  </si>
  <si>
    <t>Intimidation</t>
  </si>
  <si>
    <t>Investigation</t>
  </si>
  <si>
    <t>Medicine</t>
  </si>
  <si>
    <t>Nature</t>
  </si>
  <si>
    <t>Perception</t>
  </si>
  <si>
    <t>Performance</t>
  </si>
  <si>
    <t>Religion</t>
  </si>
  <si>
    <t>Sleight of Hand</t>
  </si>
  <si>
    <t>Stealth</t>
  </si>
  <si>
    <t>Bartering</t>
  </si>
  <si>
    <t>Computers</t>
  </si>
  <si>
    <t>Deception</t>
  </si>
  <si>
    <t>Leadership</t>
  </si>
  <si>
    <t>Faith</t>
  </si>
  <si>
    <t>Skills</t>
  </si>
  <si>
    <t>ALLIGNMENT:____________</t>
  </si>
  <si>
    <t>HP</t>
  </si>
  <si>
    <t>AC</t>
  </si>
  <si>
    <t>STR</t>
  </si>
  <si>
    <t>ARC</t>
  </si>
  <si>
    <t>SUR</t>
  </si>
  <si>
    <t>DEF</t>
  </si>
  <si>
    <t>INT</t>
  </si>
  <si>
    <t>AGI</t>
  </si>
  <si>
    <t>CHA</t>
  </si>
  <si>
    <t>JUD</t>
  </si>
  <si>
    <t>WILL</t>
  </si>
  <si>
    <t>LVL</t>
  </si>
  <si>
    <t>HIT POINTS</t>
  </si>
  <si>
    <t>ARCANA</t>
  </si>
  <si>
    <t>Movement</t>
  </si>
  <si>
    <t>Base Weight</t>
  </si>
  <si>
    <t>WC</t>
  </si>
  <si>
    <t>MONEY</t>
  </si>
  <si>
    <t>Death Saves</t>
  </si>
  <si>
    <t>Fail</t>
  </si>
  <si>
    <t>Succ</t>
  </si>
  <si>
    <t>Proffessions</t>
  </si>
  <si>
    <t>Cooking</t>
  </si>
  <si>
    <t>Armor</t>
  </si>
  <si>
    <t>Weapon</t>
  </si>
  <si>
    <t>Fishing</t>
  </si>
  <si>
    <t>Wood</t>
  </si>
  <si>
    <t>Farming</t>
  </si>
  <si>
    <t>Alchemy</t>
  </si>
  <si>
    <t>Enhancer</t>
  </si>
  <si>
    <t>Jewel</t>
  </si>
  <si>
    <t>Mining</t>
  </si>
  <si>
    <t>Hunting</t>
  </si>
  <si>
    <t>Piloting</t>
  </si>
  <si>
    <t>Driving</t>
  </si>
  <si>
    <t>prof bonus</t>
  </si>
  <si>
    <t>YOUR SPELL COMPENDIUM</t>
  </si>
  <si>
    <t>SPELL NAME</t>
  </si>
  <si>
    <t>SEVERITY</t>
  </si>
  <si>
    <t>TYPE</t>
  </si>
  <si>
    <t>ELEMENT</t>
  </si>
  <si>
    <t>REQUIREMENT</t>
  </si>
  <si>
    <t>TARGET TYPE</t>
  </si>
  <si>
    <t>RANGE</t>
  </si>
  <si>
    <t>CAST TIME</t>
  </si>
  <si>
    <t>ACTIVE DURATION</t>
  </si>
  <si>
    <t>SPELL CHECK</t>
  </si>
  <si>
    <t>BONUS</t>
  </si>
  <si>
    <t>Description</t>
  </si>
  <si>
    <t>Level Aquired</t>
  </si>
  <si>
    <t>Exact Damage</t>
  </si>
  <si>
    <t>Miniscule</t>
  </si>
  <si>
    <t>Light</t>
  </si>
  <si>
    <t>Medium</t>
  </si>
  <si>
    <t>Heavy</t>
  </si>
  <si>
    <t>Severe</t>
  </si>
  <si>
    <t>Deadly</t>
  </si>
  <si>
    <t>-</t>
  </si>
  <si>
    <t>Physical</t>
  </si>
  <si>
    <t>Projectile</t>
  </si>
  <si>
    <t>Status</t>
  </si>
  <si>
    <t>Area</t>
  </si>
  <si>
    <t>Summon</t>
  </si>
  <si>
    <t>Enhancement</t>
  </si>
  <si>
    <t>Necrotic</t>
  </si>
  <si>
    <t>Transformation</t>
  </si>
  <si>
    <t>Healing</t>
  </si>
  <si>
    <t>Illusion</t>
  </si>
  <si>
    <t>Transmutation</t>
  </si>
  <si>
    <t>Celestial</t>
  </si>
  <si>
    <t>Ancient</t>
  </si>
  <si>
    <t>Flare</t>
  </si>
  <si>
    <t>Hydro</t>
  </si>
  <si>
    <t>Thunder</t>
  </si>
  <si>
    <t>Psych</t>
  </si>
  <si>
    <t>Ghost</t>
  </si>
  <si>
    <t>Frost</t>
  </si>
  <si>
    <t>Terra</t>
  </si>
  <si>
    <t>Shadow</t>
  </si>
  <si>
    <t>Plasma</t>
  </si>
  <si>
    <t>Aero</t>
  </si>
  <si>
    <t>Ink</t>
  </si>
  <si>
    <t>Gravity</t>
  </si>
  <si>
    <t>Metallica</t>
  </si>
  <si>
    <t>Radiate</t>
  </si>
  <si>
    <t>Blood</t>
  </si>
  <si>
    <t>None</t>
  </si>
  <si>
    <t>Single</t>
  </si>
  <si>
    <t>Item</t>
  </si>
  <si>
    <t>Chant</t>
  </si>
  <si>
    <t>Ritual</t>
  </si>
  <si>
    <t>Cast</t>
  </si>
  <si>
    <t>Chain</t>
  </si>
  <si>
    <t>Multi-Target</t>
  </si>
  <si>
    <t>Severity</t>
  </si>
  <si>
    <t>2+ for each one</t>
  </si>
  <si>
    <t>n/a</t>
  </si>
  <si>
    <t>Element</t>
  </si>
  <si>
    <t>Requirement</t>
  </si>
  <si>
    <t>Target type</t>
  </si>
  <si>
    <t>Range</t>
  </si>
  <si>
    <t>1+ every 10ft</t>
  </si>
  <si>
    <t>Cast Time</t>
  </si>
  <si>
    <t>Active Duration</t>
  </si>
  <si>
    <t>1+ per round after 3 rounds</t>
  </si>
  <si>
    <t>Status Effect</t>
  </si>
  <si>
    <t>if adding an effect to a different type of spell 2+</t>
  </si>
  <si>
    <t>Types:</t>
  </si>
  <si>
    <t>2+</t>
  </si>
  <si>
    <t>4+</t>
  </si>
  <si>
    <t>6+</t>
  </si>
  <si>
    <t>5+</t>
  </si>
  <si>
    <t>Trap</t>
  </si>
  <si>
    <t>8+</t>
  </si>
  <si>
    <t>7+</t>
  </si>
  <si>
    <t>Spell Check Calculation Chart. Due for change as tests go on</t>
  </si>
  <si>
    <t>TIER</t>
  </si>
  <si>
    <t>Reaction</t>
  </si>
  <si>
    <t>Translation</t>
  </si>
  <si>
    <t>SS</t>
  </si>
  <si>
    <t>1+ Single, 2+ Multi, 3+ Chain, 2+ Area</t>
  </si>
  <si>
    <t>1- after 1 turn</t>
  </si>
  <si>
    <t>For purpose of backstory, allies, enemies, notes, etc</t>
  </si>
  <si>
    <t>Instructions</t>
  </si>
  <si>
    <t>The orange fill box is where you insert all the stat numbers</t>
  </si>
  <si>
    <t>do not change any of the Ability Score numbers or it screws</t>
  </si>
  <si>
    <t>with the code for the excel sheet.</t>
  </si>
  <si>
    <t>Skills, Proffessions, Death saves and Inventory can be</t>
  </si>
  <si>
    <t>manually changed and does not need the fill box</t>
  </si>
  <si>
    <t>Same goes for the Name, Transfig, Archetype, Allignment,</t>
  </si>
  <si>
    <t>Morality, and Pantheon sections</t>
  </si>
  <si>
    <t>Book</t>
  </si>
  <si>
    <t>Instant</t>
  </si>
  <si>
    <t>Presented here is a bunch of spell</t>
  </si>
  <si>
    <t>types and examples of using the spell</t>
  </si>
  <si>
    <t>builder. This should give you how each</t>
  </si>
  <si>
    <t>spell differs and what they require</t>
  </si>
  <si>
    <t>Each severity = which damage dice</t>
  </si>
  <si>
    <t>Default is cast</t>
  </si>
  <si>
    <t>Default Single</t>
  </si>
  <si>
    <t>Default 5ft</t>
  </si>
  <si>
    <t>Only if it has status effects</t>
  </si>
  <si>
    <t>Equal to your enhancement bonus</t>
  </si>
  <si>
    <t>Optional</t>
  </si>
  <si>
    <t>TIERdSEVERITYDICE</t>
  </si>
  <si>
    <t>ACTIVE DURATION Default = 3</t>
  </si>
  <si>
    <t>Severity = +5ft extra movement</t>
  </si>
  <si>
    <t>Single or Area</t>
  </si>
  <si>
    <t>(Optional) None or Damage</t>
  </si>
  <si>
    <t>Movement ft</t>
  </si>
  <si>
    <t>severity = +1 to tick damage each</t>
  </si>
  <si>
    <t>Single or Multi</t>
  </si>
  <si>
    <t>Default is 3</t>
  </si>
  <si>
    <t>Element Orientated</t>
  </si>
  <si>
    <t>Status effect</t>
  </si>
  <si>
    <t>severity = +2 bonus summon health</t>
  </si>
  <si>
    <t>Summon Health</t>
  </si>
  <si>
    <t>Summon damage is also equal to severity</t>
  </si>
  <si>
    <t>Severity = +1 with each tier</t>
  </si>
  <si>
    <t>Enhance or Dehance</t>
  </si>
  <si>
    <t>type+bonus</t>
  </si>
  <si>
    <t>optional: Necrotic</t>
  </si>
  <si>
    <t>Severity = 3 of damage dice</t>
  </si>
  <si>
    <t>severity = 2 of damage dice</t>
  </si>
  <si>
    <t>Self</t>
  </si>
  <si>
    <t>severity = healing dice</t>
  </si>
  <si>
    <t>Light or Nature</t>
  </si>
  <si>
    <t>Optional: Regen</t>
  </si>
  <si>
    <t>severity = illusion intensity</t>
  </si>
  <si>
    <t>damage dice</t>
  </si>
  <si>
    <t>Items</t>
  </si>
  <si>
    <t>item dependent</t>
  </si>
  <si>
    <t>self</t>
  </si>
  <si>
    <t>Complexity</t>
  </si>
  <si>
    <t xml:space="preserve">Reaction Spells are 1 per short rest </t>
  </si>
  <si>
    <t xml:space="preserve">Movement, Chant and Ritual </t>
  </si>
  <si>
    <t>fall under the cast category</t>
  </si>
  <si>
    <t>its more for flavor text</t>
  </si>
  <si>
    <t>per short rest ability</t>
  </si>
  <si>
    <t>Instant &amp; Reaction</t>
  </si>
  <si>
    <t>Instant cast for Shifters</t>
  </si>
  <si>
    <t>Instant and Reaction Cast is a +2 To Spell Check</t>
  </si>
  <si>
    <t>When using anything regarding an area or chain attack</t>
  </si>
  <si>
    <t>you need to specify the range of the attack, the area range that it</t>
  </si>
  <si>
    <t>effects. The same rule for spell check applies to all range numbers</t>
  </si>
  <si>
    <t>strength</t>
  </si>
  <si>
    <t>survivability</t>
  </si>
  <si>
    <t>defence</t>
  </si>
  <si>
    <t>intelligence</t>
  </si>
  <si>
    <t>agility</t>
  </si>
  <si>
    <t>judgement</t>
  </si>
  <si>
    <t>charisma</t>
  </si>
  <si>
    <t>hp1</t>
  </si>
  <si>
    <t>hpPATRON</t>
  </si>
  <si>
    <t>hpHIVECORE</t>
  </si>
  <si>
    <t>arcana</t>
  </si>
  <si>
    <t>animal handling</t>
  </si>
  <si>
    <t>athletics</t>
  </si>
  <si>
    <t>disguise</t>
  </si>
  <si>
    <t>history</t>
  </si>
  <si>
    <t>insight</t>
  </si>
  <si>
    <t>intimidation</t>
  </si>
  <si>
    <t>investigation</t>
  </si>
  <si>
    <t>medicine</t>
  </si>
  <si>
    <t>nature</t>
  </si>
  <si>
    <t>perception</t>
  </si>
  <si>
    <t>performance</t>
  </si>
  <si>
    <t>persuasion</t>
  </si>
  <si>
    <t>religion</t>
  </si>
  <si>
    <t>sleight of hand</t>
  </si>
  <si>
    <t>stealth</t>
  </si>
  <si>
    <t>bartering</t>
  </si>
  <si>
    <t>computers</t>
  </si>
  <si>
    <t>deception</t>
  </si>
  <si>
    <t>leadership</t>
  </si>
  <si>
    <t>faith</t>
  </si>
  <si>
    <t>translation</t>
  </si>
  <si>
    <t>shifter</t>
  </si>
  <si>
    <t>duelist</t>
  </si>
  <si>
    <t>artillerist</t>
  </si>
  <si>
    <t>pact</t>
  </si>
  <si>
    <t>warlock</t>
  </si>
  <si>
    <t>brute</t>
  </si>
  <si>
    <t>carnage</t>
  </si>
  <si>
    <t>strategist</t>
  </si>
  <si>
    <t>citizen</t>
  </si>
  <si>
    <t>devoutest</t>
  </si>
  <si>
    <t>peasant</t>
  </si>
  <si>
    <t>bounty hunter</t>
  </si>
  <si>
    <t>lab rat</t>
  </si>
  <si>
    <t>scientist</t>
  </si>
  <si>
    <t>thief</t>
  </si>
  <si>
    <t>folk hero</t>
  </si>
  <si>
    <t>military</t>
  </si>
  <si>
    <t>cursed</t>
  </si>
  <si>
    <t>peace keeper</t>
  </si>
  <si>
    <t>cultist</t>
  </si>
  <si>
    <t>con artist</t>
  </si>
  <si>
    <t>merchant</t>
  </si>
  <si>
    <t>spokesman</t>
  </si>
  <si>
    <t>innovator</t>
  </si>
  <si>
    <t>doctor</t>
  </si>
  <si>
    <t>detective</t>
  </si>
  <si>
    <t>Stat total</t>
  </si>
  <si>
    <t>Persuasion</t>
  </si>
  <si>
    <t>terran</t>
  </si>
  <si>
    <t>elven</t>
  </si>
  <si>
    <t>cybr</t>
  </si>
  <si>
    <t>siren</t>
  </si>
  <si>
    <t>hound</t>
  </si>
  <si>
    <t>spectre</t>
  </si>
  <si>
    <t>fae</t>
  </si>
  <si>
    <t>warden</t>
  </si>
  <si>
    <t>hive</t>
  </si>
  <si>
    <t>gelatinous</t>
  </si>
  <si>
    <t>shrike</t>
  </si>
  <si>
    <t>planetarian</t>
  </si>
  <si>
    <t>vixen</t>
  </si>
  <si>
    <t>avtr</t>
  </si>
  <si>
    <t>celestite</t>
  </si>
  <si>
    <t>imp</t>
  </si>
  <si>
    <t>vultra</t>
  </si>
  <si>
    <t>race_type</t>
  </si>
  <si>
    <t>hit_dice</t>
  </si>
  <si>
    <t>movement</t>
  </si>
  <si>
    <t>weight_class</t>
  </si>
  <si>
    <t>Column1</t>
  </si>
  <si>
    <t>Column2</t>
  </si>
  <si>
    <t>15</t>
  </si>
  <si>
    <t>11</t>
  </si>
  <si>
    <t>12</t>
  </si>
  <si>
    <t>0</t>
  </si>
  <si>
    <t>20</t>
  </si>
  <si>
    <t>1</t>
  </si>
  <si>
    <t>archetype</t>
  </si>
  <si>
    <t>pantheon</t>
  </si>
  <si>
    <t>13</t>
  </si>
  <si>
    <t>10</t>
  </si>
  <si>
    <t>4</t>
  </si>
  <si>
    <t>35</t>
  </si>
  <si>
    <t>8</t>
  </si>
  <si>
    <t>ARCHETYPE:</t>
  </si>
  <si>
    <t>PANTHEON: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</si>
</sst>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Bahnschrift SemiBold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36">
    <xf numFmtId="0" fontId="0" fillId="0" borderId="0" xfId="0"/>
    <xf numFmtId="0" fontId="1" fillId="5" borderId="0" xfId="4"/>
    <xf numFmtId="0" fontId="0" fillId="5" borderId="0" xfId="4" applyFont="1"/>
    <xf numFmtId="0" fontId="0" fillId="5" borderId="0" xfId="4" applyFont="1" applyAlignment="1">
      <alignment horizontal="right"/>
    </xf>
    <xf numFmtId="0" fontId="1" fillId="6" borderId="0" xfId="5"/>
    <xf numFmtId="0" fontId="1" fillId="7" borderId="0" xfId="6"/>
    <xf numFmtId="0" fontId="0" fillId="6" borderId="0" xfId="5" applyFont="1"/>
    <xf numFmtId="0" fontId="2" fillId="2" borderId="1" xfId="1"/>
    <xf numFmtId="0" fontId="0" fillId="7" borderId="0" xfId="6" applyFont="1"/>
    <xf numFmtId="0" fontId="1" fillId="3" borderId="0" xfId="2"/>
    <xf numFmtId="0" fontId="0" fillId="3" borderId="0" xfId="2" applyFont="1"/>
    <xf numFmtId="0" fontId="4" fillId="3" borderId="0" xfId="2" applyFont="1"/>
    <xf numFmtId="0" fontId="0" fillId="3" borderId="0" xfId="2" applyFont="1" applyAlignment="1">
      <alignment horizontal="right"/>
    </xf>
    <xf numFmtId="0" fontId="2" fillId="2" borderId="1" xfId="1" applyAlignment="1">
      <alignment horizontal="center"/>
    </xf>
    <xf numFmtId="0" fontId="3" fillId="4" borderId="0" xfId="3"/>
    <xf numFmtId="0" fontId="3" fillId="8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5" borderId="0" xfId="4" applyBorder="1"/>
    <xf numFmtId="0" fontId="1" fillId="5" borderId="0" xfId="4" applyBorder="1" applyAlignment="1">
      <alignment horizontal="center"/>
    </xf>
    <xf numFmtId="0" fontId="0" fillId="9" borderId="0" xfId="0" applyFill="1"/>
    <xf numFmtId="0" fontId="5" fillId="9" borderId="0" xfId="0" applyFont="1" applyFill="1"/>
    <xf numFmtId="0" fontId="0" fillId="11" borderId="0" xfId="0" applyFill="1"/>
    <xf numFmtId="0" fontId="1" fillId="12" borderId="0" xfId="4" applyFill="1" applyBorder="1" applyAlignment="1">
      <alignment horizontal="center"/>
    </xf>
    <xf numFmtId="0" fontId="3" fillId="0" borderId="0" xfId="0" applyFont="1"/>
    <xf numFmtId="0" fontId="0" fillId="10" borderId="0" xfId="0" applyFill="1" applyAlignment="1">
      <alignment horizontal="center"/>
    </xf>
    <xf numFmtId="0" fontId="0" fillId="10" borderId="0" xfId="0" applyFill="1"/>
    <xf numFmtId="0" fontId="0" fillId="8" borderId="0" xfId="0" applyFill="1"/>
    <xf numFmtId="0" fontId="3" fillId="8" borderId="0" xfId="0" applyFont="1" applyFill="1"/>
    <xf numFmtId="0" fontId="1" fillId="3" borderId="0" xfId="2" applyAlignment="1">
      <alignment horizontal="right"/>
    </xf>
    <xf numFmtId="0" fontId="0" fillId="13" borderId="0" xfId="0" applyFill="1"/>
    <xf numFmtId="0" fontId="2" fillId="2" borderId="2" xfId="1" applyBorder="1" applyAlignment="1">
      <alignment horizontal="center"/>
    </xf>
    <xf numFmtId="0" fontId="2" fillId="2" borderId="3" xfId="1" applyBorder="1" applyAlignment="1">
      <alignment horizontal="center"/>
    </xf>
    <xf numFmtId="0" fontId="2" fillId="2" borderId="4" xfId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13" borderId="0" xfId="0" applyFill="1" applyAlignment="1">
      <alignment horizontal="right"/>
    </xf>
  </cellXfs>
  <cellStyles count="7">
    <cellStyle name="20% - Accent2" xfId="2" builtinId="34"/>
    <cellStyle name="20% - Accent3" xfId="4" builtinId="38"/>
    <cellStyle name="40% - Accent3" xfId="5" builtinId="39"/>
    <cellStyle name="60% - Accent3" xfId="6" builtinId="40"/>
    <cellStyle name="Accent3" xfId="3" builtinId="37"/>
    <cellStyle name="Calculation" xfId="1" builtinId="22"/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581024</xdr:colOff>
      <xdr:row>3</xdr:row>
      <xdr:rowOff>1</xdr:rowOff>
    </xdr:from>
    <xdr:to>
      <xdr:col>3</xdr:col>
      <xdr:colOff>222747</xdr:colOff>
      <xdr:row>6</xdr:row>
      <xdr:rowOff>95250</xdr:rowOff>
    </xdr:to>
    <xdr:sp macro="" textlink="B51">
      <xdr:nvSpPr>
        <xdr:cNvPr id="68" name="Rectangle: Diagonal Corners Snipped 67">
          <a:extLst>
            <a:ext uri="{FF2B5EF4-FFF2-40B4-BE49-F238E27FC236}">
              <a16:creationId xmlns:a16="http://schemas.microsoft.com/office/drawing/2014/main" id="{90EC520E-38CF-440A-A0CC-21ED30D87249}"/>
            </a:ext>
          </a:extLst>
        </xdr:cNvPr>
        <xdr:cNvSpPr/>
      </xdr:nvSpPr>
      <xdr:spPr>
        <a:xfrm>
          <a:off x="1190624" y="571501"/>
          <a:ext cx="860923" cy="666749"/>
        </a:xfrm>
        <a:prstGeom prst="snip2Diag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7E410212-783F-40B0-B3AB-5655C836DE41}" type="TxLink">
            <a:rPr lang="en-US" sz="3600" b="0" i="0" u="none" strike="noStrike">
              <a:solidFill>
                <a:srgbClr val="000000"/>
              </a:solidFill>
              <a:latin typeface="Bahnschrift SemiBold" panose="020B0502040204020203" pitchFamily="34" charset="0"/>
              <a:cs typeface="Calibri"/>
            </a:rPr>
            <a:pPr algn="ctr"/>
            <a:t>11</a:t>
          </a:fld>
          <a:endParaRPr lang="en-AU" sz="36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5</xdr:col>
      <xdr:colOff>238125</xdr:colOff>
      <xdr:row>14</xdr:row>
      <xdr:rowOff>180975</xdr:rowOff>
    </xdr:from>
    <xdr:to>
      <xdr:col>6</xdr:col>
      <xdr:colOff>457200</xdr:colOff>
      <xdr:row>17</xdr:row>
      <xdr:rowOff>180975</xdr:rowOff>
    </xdr:to>
    <xdr:sp macro="" textlink="V6">
      <xdr:nvSpPr>
        <xdr:cNvPr id="2" name="Rectangle: Rounded Corners 1">
          <a:extLst>
            <a:ext uri="{FF2B5EF4-FFF2-40B4-BE49-F238E27FC236}">
              <a16:creationId xmlns:a16="http://schemas.microsoft.com/office/drawing/2014/main" id="{DA9A4F83-36BC-CE18-D6A9-EB97C50FD67E}"/>
            </a:ext>
          </a:extLst>
        </xdr:cNvPr>
        <xdr:cNvSpPr/>
      </xdr:nvSpPr>
      <xdr:spPr>
        <a:xfrm>
          <a:off x="3286125" y="2847975"/>
          <a:ext cx="828675" cy="57150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46CA2C4A-0686-4D62-AF3C-08DD27855CFC}" type="TxLink">
            <a:rPr lang="en-US" sz="3600" b="0" i="0" u="none" strike="noStrike">
              <a:solidFill>
                <a:srgbClr val="000000"/>
              </a:solidFill>
              <a:latin typeface="Bahnschrift SemiBold" panose="020B0502040204020203" pitchFamily="34" charset="0"/>
            </a:rPr>
            <a:pPr algn="ctr"/>
            <a:t>1</a:t>
          </a:fld>
          <a:endParaRPr lang="en-AU" sz="36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6</xdr:col>
      <xdr:colOff>447675</xdr:colOff>
      <xdr:row>20</xdr:row>
      <xdr:rowOff>47625</xdr:rowOff>
    </xdr:from>
    <xdr:to>
      <xdr:col>8</xdr:col>
      <xdr:colOff>57150</xdr:colOff>
      <xdr:row>23</xdr:row>
      <xdr:rowOff>47625</xdr:rowOff>
    </xdr:to>
    <xdr:sp macro="" textlink="V7">
      <xdr:nvSpPr>
        <xdr:cNvPr id="3" name="Rectangle: Rounded Corners 2">
          <a:extLst>
            <a:ext uri="{FF2B5EF4-FFF2-40B4-BE49-F238E27FC236}">
              <a16:creationId xmlns:a16="http://schemas.microsoft.com/office/drawing/2014/main" id="{A7425773-A10D-42F1-8A13-06C04248F42C}"/>
            </a:ext>
          </a:extLst>
        </xdr:cNvPr>
        <xdr:cNvSpPr/>
      </xdr:nvSpPr>
      <xdr:spPr>
        <a:xfrm>
          <a:off x="4105275" y="3857625"/>
          <a:ext cx="828675" cy="57150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06C7CE3D-5FCF-49F6-997C-65F72D6BFFD4}" type="TxLink">
            <a:rPr lang="en-US" sz="3600" b="0" i="0" u="none" strike="noStrike">
              <a:solidFill>
                <a:srgbClr val="000000"/>
              </a:solidFill>
              <a:latin typeface="Bahnschrift SemiBold" panose="020B0502040204020203" pitchFamily="34" charset="0"/>
            </a:rPr>
            <a:pPr algn="ctr"/>
            <a:t>1</a:t>
          </a:fld>
          <a:endParaRPr lang="en-AU" sz="36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10</xdr:col>
      <xdr:colOff>142875</xdr:colOff>
      <xdr:row>20</xdr:row>
      <xdr:rowOff>85725</xdr:rowOff>
    </xdr:from>
    <xdr:to>
      <xdr:col>11</xdr:col>
      <xdr:colOff>361950</xdr:colOff>
      <xdr:row>23</xdr:row>
      <xdr:rowOff>85725</xdr:rowOff>
    </xdr:to>
    <xdr:sp macro="" textlink="V9">
      <xdr:nvSpPr>
        <xdr:cNvPr id="4" name="Rectangle: Rounded Corners 3">
          <a:extLst>
            <a:ext uri="{FF2B5EF4-FFF2-40B4-BE49-F238E27FC236}">
              <a16:creationId xmlns:a16="http://schemas.microsoft.com/office/drawing/2014/main" id="{A6199FF1-F154-4341-814A-92E168E51406}"/>
            </a:ext>
          </a:extLst>
        </xdr:cNvPr>
        <xdr:cNvSpPr/>
      </xdr:nvSpPr>
      <xdr:spPr>
        <a:xfrm>
          <a:off x="6238875" y="3895725"/>
          <a:ext cx="828675" cy="57150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681B5A19-6228-462D-A42D-6E968CFB0537}" type="TxLink">
            <a:rPr lang="en-US" sz="3600" b="0" i="0" u="none" strike="noStrike">
              <a:solidFill>
                <a:srgbClr val="000000"/>
              </a:solidFill>
              <a:latin typeface="Bahnschrift SemiBold" panose="020B0502040204020203" pitchFamily="34" charset="0"/>
            </a:rPr>
            <a:pPr algn="ctr"/>
            <a:t>0</a:t>
          </a:fld>
          <a:endParaRPr lang="en-AU" sz="36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8</xdr:col>
      <xdr:colOff>304800</xdr:colOff>
      <xdr:row>6</xdr:row>
      <xdr:rowOff>66675</xdr:rowOff>
    </xdr:from>
    <xdr:to>
      <xdr:col>9</xdr:col>
      <xdr:colOff>523875</xdr:colOff>
      <xdr:row>9</xdr:row>
      <xdr:rowOff>66675</xdr:rowOff>
    </xdr:to>
    <xdr:sp macro="" textlink="V4">
      <xdr:nvSpPr>
        <xdr:cNvPr id="5" name="Rectangle: Rounded Corners 4">
          <a:extLst>
            <a:ext uri="{FF2B5EF4-FFF2-40B4-BE49-F238E27FC236}">
              <a16:creationId xmlns:a16="http://schemas.microsoft.com/office/drawing/2014/main" id="{C7914417-A491-418B-9375-81C01AAAA1FE}"/>
            </a:ext>
          </a:extLst>
        </xdr:cNvPr>
        <xdr:cNvSpPr/>
      </xdr:nvSpPr>
      <xdr:spPr>
        <a:xfrm>
          <a:off x="5215467" y="1209675"/>
          <a:ext cx="832908" cy="57150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AE5D4447-2E3D-4C1A-AC79-8DA6B87BD9CD}" type="TxLink">
            <a:rPr lang="en-US" sz="3600" b="0" i="0" u="none" strike="noStrike">
              <a:solidFill>
                <a:srgbClr val="000000"/>
              </a:solidFill>
              <a:latin typeface="Bahnschrift SemiBold" panose="020B0502040204020203" pitchFamily="34" charset="0"/>
              <a:cs typeface="Calibri"/>
            </a:rPr>
            <a:pPr algn="ctr"/>
            <a:t>2</a:t>
          </a:fld>
          <a:endParaRPr lang="en-AU" sz="36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10</xdr:col>
      <xdr:colOff>85725</xdr:colOff>
      <xdr:row>10</xdr:row>
      <xdr:rowOff>95250</xdr:rowOff>
    </xdr:from>
    <xdr:to>
      <xdr:col>11</xdr:col>
      <xdr:colOff>304800</xdr:colOff>
      <xdr:row>13</xdr:row>
      <xdr:rowOff>95250</xdr:rowOff>
    </xdr:to>
    <xdr:sp macro="" textlink="V11">
      <xdr:nvSpPr>
        <xdr:cNvPr id="6" name="Rectangle: Rounded Corners 5">
          <a:extLst>
            <a:ext uri="{FF2B5EF4-FFF2-40B4-BE49-F238E27FC236}">
              <a16:creationId xmlns:a16="http://schemas.microsoft.com/office/drawing/2014/main" id="{E8CA421A-674F-411B-A01F-C9401F45490C}"/>
            </a:ext>
          </a:extLst>
        </xdr:cNvPr>
        <xdr:cNvSpPr/>
      </xdr:nvSpPr>
      <xdr:spPr>
        <a:xfrm>
          <a:off x="6181725" y="2000250"/>
          <a:ext cx="828675" cy="57150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6866FC54-2430-480F-B682-94B5E47BA736}" type="TxLink">
            <a:rPr lang="en-US" sz="3600" b="0" i="0" u="none" strike="noStrike">
              <a:solidFill>
                <a:srgbClr val="000000"/>
              </a:solidFill>
              <a:latin typeface="Bahnschrift SemiBold" panose="020B0502040204020203" pitchFamily="34" charset="0"/>
            </a:rPr>
            <a:pPr algn="ctr"/>
            <a:t>0</a:t>
          </a:fld>
          <a:endParaRPr lang="en-AU" sz="36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6</xdr:col>
      <xdr:colOff>466725</xdr:colOff>
      <xdr:row>10</xdr:row>
      <xdr:rowOff>104775</xdr:rowOff>
    </xdr:from>
    <xdr:to>
      <xdr:col>8</xdr:col>
      <xdr:colOff>76200</xdr:colOff>
      <xdr:row>13</xdr:row>
      <xdr:rowOff>104775</xdr:rowOff>
    </xdr:to>
    <xdr:sp macro="" textlink="V5">
      <xdr:nvSpPr>
        <xdr:cNvPr id="7" name="Rectangle: Rounded Corners 6">
          <a:extLst>
            <a:ext uri="{FF2B5EF4-FFF2-40B4-BE49-F238E27FC236}">
              <a16:creationId xmlns:a16="http://schemas.microsoft.com/office/drawing/2014/main" id="{3927BFE7-2195-4540-8E6E-B8DCE0370554}"/>
            </a:ext>
          </a:extLst>
        </xdr:cNvPr>
        <xdr:cNvSpPr/>
      </xdr:nvSpPr>
      <xdr:spPr>
        <a:xfrm>
          <a:off x="4124325" y="2009775"/>
          <a:ext cx="828675" cy="57150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A418A9CA-4D9D-4711-BFE8-A1506B1D0291}" type="TxLink">
            <a:rPr lang="en-US" sz="3600" b="0" i="0" u="none" strike="noStrike">
              <a:solidFill>
                <a:srgbClr val="000000"/>
              </a:solidFill>
              <a:latin typeface="Bahnschrift SemiBold" panose="020B0502040204020203" pitchFamily="34" charset="0"/>
            </a:rPr>
            <a:pPr algn="ctr"/>
            <a:t>1</a:t>
          </a:fld>
          <a:endParaRPr lang="en-AU" sz="36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11</xdr:col>
      <xdr:colOff>304800</xdr:colOff>
      <xdr:row>15</xdr:row>
      <xdr:rowOff>38100</xdr:rowOff>
    </xdr:from>
    <xdr:to>
      <xdr:col>12</xdr:col>
      <xdr:colOff>523875</xdr:colOff>
      <xdr:row>18</xdr:row>
      <xdr:rowOff>38100</xdr:rowOff>
    </xdr:to>
    <xdr:sp macro="" textlink="V10">
      <xdr:nvSpPr>
        <xdr:cNvPr id="8" name="Rectangle: Rounded Corners 7">
          <a:extLst>
            <a:ext uri="{FF2B5EF4-FFF2-40B4-BE49-F238E27FC236}">
              <a16:creationId xmlns:a16="http://schemas.microsoft.com/office/drawing/2014/main" id="{E24E2F66-F179-4223-A6B1-2850EE97C8CC}"/>
            </a:ext>
          </a:extLst>
        </xdr:cNvPr>
        <xdr:cNvSpPr/>
      </xdr:nvSpPr>
      <xdr:spPr>
        <a:xfrm>
          <a:off x="7056967" y="2895600"/>
          <a:ext cx="832908" cy="57150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BB51FC3-7A25-46C6-B437-E85E02226F8A}" type="TxLink">
            <a:rPr lang="en-US" sz="3600" b="0" i="0" u="none" strike="noStrike">
              <a:solidFill>
                <a:srgbClr val="000000"/>
              </a:solidFill>
              <a:latin typeface="Bahnschrift SemiBold" panose="020B0502040204020203" pitchFamily="34" charset="0"/>
            </a:rPr>
            <a:pPr algn="ctr"/>
            <a:t>0</a:t>
          </a:fld>
          <a:endParaRPr lang="en-AU" sz="36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8</xdr:col>
      <xdr:colOff>323850</xdr:colOff>
      <xdr:row>24</xdr:row>
      <xdr:rowOff>76200</xdr:rowOff>
    </xdr:from>
    <xdr:to>
      <xdr:col>9</xdr:col>
      <xdr:colOff>542925</xdr:colOff>
      <xdr:row>27</xdr:row>
      <xdr:rowOff>76200</xdr:rowOff>
    </xdr:to>
    <xdr:sp macro="" textlink="V8">
      <xdr:nvSpPr>
        <xdr:cNvPr id="9" name="Rectangle: Rounded Corners 8">
          <a:extLst>
            <a:ext uri="{FF2B5EF4-FFF2-40B4-BE49-F238E27FC236}">
              <a16:creationId xmlns:a16="http://schemas.microsoft.com/office/drawing/2014/main" id="{1544FA4F-3A4A-4448-8899-ABE9B1A24D73}"/>
            </a:ext>
          </a:extLst>
        </xdr:cNvPr>
        <xdr:cNvSpPr/>
      </xdr:nvSpPr>
      <xdr:spPr>
        <a:xfrm>
          <a:off x="5200650" y="4648200"/>
          <a:ext cx="828675" cy="57150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A6B5717A-B5E6-4301-B5FE-FB7B764B9014}" type="TxLink">
            <a:rPr lang="en-US" sz="3600" b="0" i="0" u="none" strike="noStrike">
              <a:solidFill>
                <a:srgbClr val="000000"/>
              </a:solidFill>
              <a:latin typeface="Bahnschrift SemiBold" panose="020B0502040204020203" pitchFamily="34" charset="0"/>
            </a:rPr>
            <a:pPr algn="ctr"/>
            <a:t>0</a:t>
          </a:fld>
          <a:endParaRPr lang="en-AU" sz="36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6</xdr:col>
      <xdr:colOff>495299</xdr:colOff>
      <xdr:row>13</xdr:row>
      <xdr:rowOff>142875</xdr:rowOff>
    </xdr:from>
    <xdr:to>
      <xdr:col>8</xdr:col>
      <xdr:colOff>47624</xdr:colOff>
      <xdr:row>14</xdr:row>
      <xdr:rowOff>123825</xdr:rowOff>
    </xdr:to>
    <xdr:sp macro="" textlink="">
      <xdr:nvSpPr>
        <xdr:cNvPr id="10" name="Rectangle: Diagonal Corners Snipped 9">
          <a:extLst>
            <a:ext uri="{FF2B5EF4-FFF2-40B4-BE49-F238E27FC236}">
              <a16:creationId xmlns:a16="http://schemas.microsoft.com/office/drawing/2014/main" id="{0193FDBA-E9D9-F6CE-2EF8-2975C7EE71F9}"/>
            </a:ext>
          </a:extLst>
        </xdr:cNvPr>
        <xdr:cNvSpPr/>
      </xdr:nvSpPr>
      <xdr:spPr>
        <a:xfrm>
          <a:off x="4152899" y="2619375"/>
          <a:ext cx="771525" cy="171450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900">
              <a:latin typeface="Bahnschrift SemiBold" panose="020B0502040204020203" pitchFamily="34" charset="0"/>
            </a:rPr>
            <a:t>ARCANA</a:t>
          </a:r>
        </a:p>
      </xdr:txBody>
    </xdr:sp>
    <xdr:clientData/>
  </xdr:twoCellAnchor>
  <xdr:twoCellAnchor>
    <xdr:from>
      <xdr:col>11</xdr:col>
      <xdr:colOff>295274</xdr:colOff>
      <xdr:row>18</xdr:row>
      <xdr:rowOff>76200</xdr:rowOff>
    </xdr:from>
    <xdr:to>
      <xdr:col>12</xdr:col>
      <xdr:colOff>561975</xdr:colOff>
      <xdr:row>19</xdr:row>
      <xdr:rowOff>85725</xdr:rowOff>
    </xdr:to>
    <xdr:sp macro="" textlink="">
      <xdr:nvSpPr>
        <xdr:cNvPr id="11" name="Rectangle: Diagonal Corners Snipped 10">
          <a:extLst>
            <a:ext uri="{FF2B5EF4-FFF2-40B4-BE49-F238E27FC236}">
              <a16:creationId xmlns:a16="http://schemas.microsoft.com/office/drawing/2014/main" id="{02F9FA0B-0ED7-4495-98E0-F1E8B5820570}"/>
            </a:ext>
          </a:extLst>
        </xdr:cNvPr>
        <xdr:cNvSpPr/>
      </xdr:nvSpPr>
      <xdr:spPr>
        <a:xfrm>
          <a:off x="7000874" y="3505200"/>
          <a:ext cx="876301" cy="200025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900">
              <a:latin typeface="Bahnschrift SemiBold" panose="020B0502040204020203" pitchFamily="34" charset="0"/>
            </a:rPr>
            <a:t>JUDGEMENT</a:t>
          </a:r>
        </a:p>
      </xdr:txBody>
    </xdr:sp>
    <xdr:clientData/>
  </xdr:twoCellAnchor>
  <xdr:twoCellAnchor>
    <xdr:from>
      <xdr:col>6</xdr:col>
      <xdr:colOff>495299</xdr:colOff>
      <xdr:row>23</xdr:row>
      <xdr:rowOff>95249</xdr:rowOff>
    </xdr:from>
    <xdr:to>
      <xdr:col>8</xdr:col>
      <xdr:colOff>47624</xdr:colOff>
      <xdr:row>24</xdr:row>
      <xdr:rowOff>76200</xdr:rowOff>
    </xdr:to>
    <xdr:sp macro="" textlink="">
      <xdr:nvSpPr>
        <xdr:cNvPr id="12" name="Rectangle: Diagonal Corners Snipped 11">
          <a:extLst>
            <a:ext uri="{FF2B5EF4-FFF2-40B4-BE49-F238E27FC236}">
              <a16:creationId xmlns:a16="http://schemas.microsoft.com/office/drawing/2014/main" id="{E4D27E40-C608-4313-8F37-A0FB39EAAA94}"/>
            </a:ext>
          </a:extLst>
        </xdr:cNvPr>
        <xdr:cNvSpPr/>
      </xdr:nvSpPr>
      <xdr:spPr>
        <a:xfrm>
          <a:off x="4152899" y="4476749"/>
          <a:ext cx="771525" cy="171451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900">
              <a:latin typeface="Bahnschrift SemiBold" panose="020B0502040204020203" pitchFamily="34" charset="0"/>
            </a:rPr>
            <a:t>DEFENCE</a:t>
          </a:r>
        </a:p>
      </xdr:txBody>
    </xdr:sp>
    <xdr:clientData/>
  </xdr:twoCellAnchor>
  <xdr:twoCellAnchor>
    <xdr:from>
      <xdr:col>5</xdr:col>
      <xdr:colOff>171449</xdr:colOff>
      <xdr:row>18</xdr:row>
      <xdr:rowOff>28575</xdr:rowOff>
    </xdr:from>
    <xdr:to>
      <xdr:col>6</xdr:col>
      <xdr:colOff>561975</xdr:colOff>
      <xdr:row>19</xdr:row>
      <xdr:rowOff>28575</xdr:rowOff>
    </xdr:to>
    <xdr:sp macro="" textlink="">
      <xdr:nvSpPr>
        <xdr:cNvPr id="13" name="Rectangle: Diagonal Corners Snipped 12">
          <a:extLst>
            <a:ext uri="{FF2B5EF4-FFF2-40B4-BE49-F238E27FC236}">
              <a16:creationId xmlns:a16="http://schemas.microsoft.com/office/drawing/2014/main" id="{96338B75-6E58-475A-8660-9C361CC8245A}"/>
            </a:ext>
          </a:extLst>
        </xdr:cNvPr>
        <xdr:cNvSpPr/>
      </xdr:nvSpPr>
      <xdr:spPr>
        <a:xfrm>
          <a:off x="3219449" y="3457575"/>
          <a:ext cx="1000126" cy="190500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900">
              <a:latin typeface="Bahnschrift SemiBold" panose="020B0502040204020203" pitchFamily="34" charset="0"/>
            </a:rPr>
            <a:t>SURVIVABILITY</a:t>
          </a:r>
        </a:p>
      </xdr:txBody>
    </xdr:sp>
    <xdr:clientData/>
  </xdr:twoCellAnchor>
  <xdr:twoCellAnchor>
    <xdr:from>
      <xdr:col>8</xdr:col>
      <xdr:colOff>190500</xdr:colOff>
      <xdr:row>27</xdr:row>
      <xdr:rowOff>114300</xdr:rowOff>
    </xdr:from>
    <xdr:to>
      <xdr:col>10</xdr:col>
      <xdr:colOff>57150</xdr:colOff>
      <xdr:row>28</xdr:row>
      <xdr:rowOff>114300</xdr:rowOff>
    </xdr:to>
    <xdr:sp macro="" textlink="">
      <xdr:nvSpPr>
        <xdr:cNvPr id="15" name="Rectangle: Diagonal Corners Snipped 14">
          <a:extLst>
            <a:ext uri="{FF2B5EF4-FFF2-40B4-BE49-F238E27FC236}">
              <a16:creationId xmlns:a16="http://schemas.microsoft.com/office/drawing/2014/main" id="{3727C3D4-E8AE-489F-90C7-21EB62F5A351}"/>
            </a:ext>
          </a:extLst>
        </xdr:cNvPr>
        <xdr:cNvSpPr/>
      </xdr:nvSpPr>
      <xdr:spPr>
        <a:xfrm>
          <a:off x="5067300" y="5257800"/>
          <a:ext cx="1085850" cy="190500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900">
              <a:latin typeface="Bahnschrift SemiBold" panose="020B0502040204020203" pitchFamily="34" charset="0"/>
            </a:rPr>
            <a:t>INTELLIGENCE</a:t>
          </a:r>
        </a:p>
      </xdr:txBody>
    </xdr:sp>
    <xdr:clientData/>
  </xdr:twoCellAnchor>
  <xdr:twoCellAnchor>
    <xdr:from>
      <xdr:col>10</xdr:col>
      <xdr:colOff>190499</xdr:colOff>
      <xdr:row>23</xdr:row>
      <xdr:rowOff>133349</xdr:rowOff>
    </xdr:from>
    <xdr:to>
      <xdr:col>11</xdr:col>
      <xdr:colOff>352424</xdr:colOff>
      <xdr:row>24</xdr:row>
      <xdr:rowOff>104774</xdr:rowOff>
    </xdr:to>
    <xdr:sp macro="" textlink="">
      <xdr:nvSpPr>
        <xdr:cNvPr id="16" name="Rectangle: Diagonal Corners Snipped 15">
          <a:extLst>
            <a:ext uri="{FF2B5EF4-FFF2-40B4-BE49-F238E27FC236}">
              <a16:creationId xmlns:a16="http://schemas.microsoft.com/office/drawing/2014/main" id="{3821C86E-1336-43F1-9D83-33475B941319}"/>
            </a:ext>
          </a:extLst>
        </xdr:cNvPr>
        <xdr:cNvSpPr/>
      </xdr:nvSpPr>
      <xdr:spPr>
        <a:xfrm>
          <a:off x="6286499" y="4514849"/>
          <a:ext cx="771525" cy="161925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900">
              <a:latin typeface="Bahnschrift SemiBold" panose="020B0502040204020203" pitchFamily="34" charset="0"/>
            </a:rPr>
            <a:t>AGILITY</a:t>
          </a:r>
        </a:p>
      </xdr:txBody>
    </xdr:sp>
    <xdr:clientData/>
  </xdr:twoCellAnchor>
  <xdr:twoCellAnchor>
    <xdr:from>
      <xdr:col>8</xdr:col>
      <xdr:colOff>342899</xdr:colOff>
      <xdr:row>9</xdr:row>
      <xdr:rowOff>133350</xdr:rowOff>
    </xdr:from>
    <xdr:to>
      <xdr:col>9</xdr:col>
      <xdr:colOff>583406</xdr:colOff>
      <xdr:row>10</xdr:row>
      <xdr:rowOff>107156</xdr:rowOff>
    </xdr:to>
    <xdr:sp macro="" textlink="">
      <xdr:nvSpPr>
        <xdr:cNvPr id="17" name="Rectangle: Diagonal Corners Snipped 16">
          <a:extLst>
            <a:ext uri="{FF2B5EF4-FFF2-40B4-BE49-F238E27FC236}">
              <a16:creationId xmlns:a16="http://schemas.microsoft.com/office/drawing/2014/main" id="{6DFAC816-1E12-46A8-AC32-4B8731E63198}"/>
            </a:ext>
          </a:extLst>
        </xdr:cNvPr>
        <xdr:cNvSpPr/>
      </xdr:nvSpPr>
      <xdr:spPr>
        <a:xfrm>
          <a:off x="5200649" y="1847850"/>
          <a:ext cx="847726" cy="164306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900">
              <a:latin typeface="Bahnschrift SemiBold" panose="020B0502040204020203" pitchFamily="34" charset="0"/>
            </a:rPr>
            <a:t>STRENGTH</a:t>
          </a:r>
        </a:p>
      </xdr:txBody>
    </xdr:sp>
    <xdr:clientData/>
  </xdr:twoCellAnchor>
  <xdr:twoCellAnchor>
    <xdr:from>
      <xdr:col>10</xdr:col>
      <xdr:colOff>95249</xdr:colOff>
      <xdr:row>13</xdr:row>
      <xdr:rowOff>123825</xdr:rowOff>
    </xdr:from>
    <xdr:to>
      <xdr:col>11</xdr:col>
      <xdr:colOff>304800</xdr:colOff>
      <xdr:row>14</xdr:row>
      <xdr:rowOff>133350</xdr:rowOff>
    </xdr:to>
    <xdr:sp macro="" textlink="">
      <xdr:nvSpPr>
        <xdr:cNvPr id="18" name="Rectangle: Diagonal Corners Snipped 17">
          <a:extLst>
            <a:ext uri="{FF2B5EF4-FFF2-40B4-BE49-F238E27FC236}">
              <a16:creationId xmlns:a16="http://schemas.microsoft.com/office/drawing/2014/main" id="{1DD99A50-1646-4707-9E0B-E00ABAC185B8}"/>
            </a:ext>
          </a:extLst>
        </xdr:cNvPr>
        <xdr:cNvSpPr/>
      </xdr:nvSpPr>
      <xdr:spPr>
        <a:xfrm>
          <a:off x="6191249" y="2600325"/>
          <a:ext cx="819151" cy="200025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900">
              <a:latin typeface="Bahnschrift SemiBold" panose="020B0502040204020203" pitchFamily="34" charset="0"/>
            </a:rPr>
            <a:t>CHARISMA</a:t>
          </a:r>
        </a:p>
      </xdr:txBody>
    </xdr:sp>
    <xdr:clientData/>
  </xdr:twoCellAnchor>
  <xdr:twoCellAnchor>
    <xdr:from>
      <xdr:col>8</xdr:col>
      <xdr:colOff>9524</xdr:colOff>
      <xdr:row>13</xdr:row>
      <xdr:rowOff>114300</xdr:rowOff>
    </xdr:from>
    <xdr:to>
      <xdr:col>10</xdr:col>
      <xdr:colOff>209549</xdr:colOff>
      <xdr:row>20</xdr:row>
      <xdr:rowOff>161925</xdr:rowOff>
    </xdr:to>
    <xdr:sp macro="" textlink="V3">
      <xdr:nvSpPr>
        <xdr:cNvPr id="19" name="Oval 18">
          <a:extLst>
            <a:ext uri="{FF2B5EF4-FFF2-40B4-BE49-F238E27FC236}">
              <a16:creationId xmlns:a16="http://schemas.microsoft.com/office/drawing/2014/main" id="{5CE746D3-08B8-0C4B-289E-14A45E0D2F38}"/>
            </a:ext>
          </a:extLst>
        </xdr:cNvPr>
        <xdr:cNvSpPr/>
      </xdr:nvSpPr>
      <xdr:spPr>
        <a:xfrm>
          <a:off x="4886324" y="2590800"/>
          <a:ext cx="1419225" cy="1381125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2B2D635E-DAE4-4907-9900-CFDC5DE4BB50}" type="TxLink">
            <a:rPr lang="en-US" sz="5400" b="0" i="0" u="none" strike="noStrike">
              <a:solidFill>
                <a:srgbClr val="000000"/>
              </a:solidFill>
              <a:latin typeface="Bahnschrift SemiBold" panose="020B0502040204020203" pitchFamily="34" charset="0"/>
              <a:cs typeface="Calibri"/>
            </a:rPr>
            <a:pPr algn="ctr"/>
            <a:t>1</a:t>
          </a:fld>
          <a:endParaRPr lang="en-AU" sz="54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8</xdr:col>
      <xdr:colOff>247650</xdr:colOff>
      <xdr:row>19</xdr:row>
      <xdr:rowOff>28575</xdr:rowOff>
    </xdr:from>
    <xdr:to>
      <xdr:col>10</xdr:col>
      <xdr:colOff>19050</xdr:colOff>
      <xdr:row>20</xdr:row>
      <xdr:rowOff>47625</xdr:rowOff>
    </xdr:to>
    <xdr:sp macro="" textlink="">
      <xdr:nvSpPr>
        <xdr:cNvPr id="20" name="Rectangle: Diagonal Corners Snipped 19">
          <a:extLst>
            <a:ext uri="{FF2B5EF4-FFF2-40B4-BE49-F238E27FC236}">
              <a16:creationId xmlns:a16="http://schemas.microsoft.com/office/drawing/2014/main" id="{9A32C1AE-08BA-F0A6-729D-10374D75DBB2}"/>
            </a:ext>
          </a:extLst>
        </xdr:cNvPr>
        <xdr:cNvSpPr/>
      </xdr:nvSpPr>
      <xdr:spPr>
        <a:xfrm>
          <a:off x="5124450" y="3648075"/>
          <a:ext cx="990600" cy="209550"/>
        </a:xfrm>
        <a:prstGeom prst="snip2Diag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>
              <a:latin typeface="Bahnschrift SemiBold" panose="020B0502040204020203" pitchFamily="34" charset="0"/>
            </a:rPr>
            <a:t>LEVEL</a:t>
          </a:r>
        </a:p>
      </xdr:txBody>
    </xdr:sp>
    <xdr:clientData/>
  </xdr:twoCellAnchor>
  <xdr:twoCellAnchor>
    <xdr:from>
      <xdr:col>8</xdr:col>
      <xdr:colOff>47624</xdr:colOff>
      <xdr:row>14</xdr:row>
      <xdr:rowOff>38100</xdr:rowOff>
    </xdr:from>
    <xdr:to>
      <xdr:col>8</xdr:col>
      <xdr:colOff>217365</xdr:colOff>
      <xdr:row>14</xdr:row>
      <xdr:rowOff>126061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13D0269D-4FBC-DD23-D282-E6273458AFD4}"/>
            </a:ext>
          </a:extLst>
        </xdr:cNvPr>
        <xdr:cNvCxnSpPr>
          <a:stCxn id="19" idx="1"/>
          <a:endCxn id="10" idx="0"/>
        </xdr:cNvCxnSpPr>
      </xdr:nvCxnSpPr>
      <xdr:spPr>
        <a:xfrm flipH="1" flipV="1">
          <a:off x="4924424" y="2705100"/>
          <a:ext cx="169741" cy="8796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109537</xdr:colOff>
      <xdr:row>10</xdr:row>
      <xdr:rowOff>107156</xdr:rowOff>
    </xdr:from>
    <xdr:to>
      <xdr:col>9</xdr:col>
      <xdr:colOff>159543</xdr:colOff>
      <xdr:row>13</xdr:row>
      <xdr:rowOff>114300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8EF6877E-93B3-8B84-9AB4-1D4EB47C053D}"/>
            </a:ext>
          </a:extLst>
        </xdr:cNvPr>
        <xdr:cNvCxnSpPr>
          <a:stCxn id="19" idx="0"/>
          <a:endCxn id="17" idx="1"/>
        </xdr:cNvCxnSpPr>
      </xdr:nvCxnSpPr>
      <xdr:spPr>
        <a:xfrm flipV="1">
          <a:off x="5574506" y="2012156"/>
          <a:ext cx="50006" cy="57864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1708</xdr:colOff>
      <xdr:row>14</xdr:row>
      <xdr:rowOff>33338</xdr:rowOff>
    </xdr:from>
    <xdr:to>
      <xdr:col>10</xdr:col>
      <xdr:colOff>95249</xdr:colOff>
      <xdr:row>14</xdr:row>
      <xdr:rowOff>126061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2BE1F5F-0079-BB8D-4F44-537C401A1BE4}"/>
            </a:ext>
          </a:extLst>
        </xdr:cNvPr>
        <xdr:cNvCxnSpPr>
          <a:stCxn id="19" idx="7"/>
          <a:endCxn id="18" idx="2"/>
        </xdr:cNvCxnSpPr>
      </xdr:nvCxnSpPr>
      <xdr:spPr>
        <a:xfrm flipV="1">
          <a:off x="6097708" y="2700338"/>
          <a:ext cx="93541" cy="927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452158</xdr:colOff>
      <xdr:row>16</xdr:row>
      <xdr:rowOff>166127</xdr:rowOff>
    </xdr:from>
    <xdr:to>
      <xdr:col>7</xdr:col>
      <xdr:colOff>581024</xdr:colOff>
      <xdr:row>16</xdr:row>
      <xdr:rowOff>170889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6813CA7-99D0-765A-DD0B-C285E3AF1FA3}"/>
            </a:ext>
          </a:extLst>
        </xdr:cNvPr>
        <xdr:cNvCxnSpPr/>
      </xdr:nvCxnSpPr>
      <xdr:spPr>
        <a:xfrm flipH="1">
          <a:off x="4082864" y="3214127"/>
          <a:ext cx="733984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209549</xdr:colOff>
      <xdr:row>17</xdr:row>
      <xdr:rowOff>42863</xdr:rowOff>
    </xdr:from>
    <xdr:to>
      <xdr:col>11</xdr:col>
      <xdr:colOff>333375</xdr:colOff>
      <xdr:row>17</xdr:row>
      <xdr:rowOff>66675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BC869B35-4444-A770-21FC-732990202FA5}"/>
            </a:ext>
          </a:extLst>
        </xdr:cNvPr>
        <xdr:cNvCxnSpPr>
          <a:stCxn id="19" idx="6"/>
        </xdr:cNvCxnSpPr>
      </xdr:nvCxnSpPr>
      <xdr:spPr>
        <a:xfrm>
          <a:off x="6305549" y="3281363"/>
          <a:ext cx="733426" cy="2381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109537</xdr:colOff>
      <xdr:row>20</xdr:row>
      <xdr:rowOff>161925</xdr:rowOff>
    </xdr:from>
    <xdr:to>
      <xdr:col>9</xdr:col>
      <xdr:colOff>128588</xdr:colOff>
      <xdr:row>24</xdr:row>
      <xdr:rowOff>76200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92D2B108-7A8C-1A3B-A4C1-08BE34BF6BF4}"/>
            </a:ext>
          </a:extLst>
        </xdr:cNvPr>
        <xdr:cNvCxnSpPr>
          <a:stCxn id="19" idx="4"/>
          <a:endCxn id="9" idx="0"/>
        </xdr:cNvCxnSpPr>
      </xdr:nvCxnSpPr>
      <xdr:spPr>
        <a:xfrm>
          <a:off x="5595937" y="3971925"/>
          <a:ext cx="19051" cy="6762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66675</xdr:colOff>
      <xdr:row>19</xdr:row>
      <xdr:rowOff>142875</xdr:rowOff>
    </xdr:from>
    <xdr:to>
      <xdr:col>8</xdr:col>
      <xdr:colOff>257175</xdr:colOff>
      <xdr:row>20</xdr:row>
      <xdr:rowOff>76200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7E0BF354-A154-E5CB-CC9B-6C2C49574BDE}"/>
            </a:ext>
          </a:extLst>
        </xdr:cNvPr>
        <xdr:cNvCxnSpPr/>
      </xdr:nvCxnSpPr>
      <xdr:spPr>
        <a:xfrm flipV="1">
          <a:off x="4943475" y="3762375"/>
          <a:ext cx="190500" cy="1238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19</xdr:row>
      <xdr:rowOff>152400</xdr:rowOff>
    </xdr:from>
    <xdr:to>
      <xdr:col>10</xdr:col>
      <xdr:colOff>190500</xdr:colOff>
      <xdr:row>20</xdr:row>
      <xdr:rowOff>114300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271FD6BD-E506-9514-6AF0-BA865D864A2D}"/>
            </a:ext>
          </a:extLst>
        </xdr:cNvPr>
        <xdr:cNvCxnSpPr/>
      </xdr:nvCxnSpPr>
      <xdr:spPr>
        <a:xfrm flipH="1" flipV="1">
          <a:off x="6134100" y="3771900"/>
          <a:ext cx="152400" cy="1524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409574</xdr:colOff>
      <xdr:row>14</xdr:row>
      <xdr:rowOff>104775</xdr:rowOff>
    </xdr:from>
    <xdr:to>
      <xdr:col>6</xdr:col>
      <xdr:colOff>257175</xdr:colOff>
      <xdr:row>15</xdr:row>
      <xdr:rowOff>57150</xdr:rowOff>
    </xdr:to>
    <xdr:sp macro="" textlink="#REF!">
      <xdr:nvSpPr>
        <xdr:cNvPr id="47" name="Rectangle: Diagonal Corners Snipped 46">
          <a:extLst>
            <a:ext uri="{FF2B5EF4-FFF2-40B4-BE49-F238E27FC236}">
              <a16:creationId xmlns:a16="http://schemas.microsoft.com/office/drawing/2014/main" id="{C8D3573F-F2A1-4C98-8D46-86ACABCC5999}"/>
            </a:ext>
          </a:extLst>
        </xdr:cNvPr>
        <xdr:cNvSpPr/>
      </xdr:nvSpPr>
      <xdr:spPr>
        <a:xfrm>
          <a:off x="3457574" y="2771775"/>
          <a:ext cx="457201" cy="142875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AE7B664E-48B7-4558-8687-F6370A7134E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13</a:t>
          </a:fld>
          <a:endParaRPr lang="en-AU" sz="9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7</xdr:col>
      <xdr:colOff>38099</xdr:colOff>
      <xdr:row>10</xdr:row>
      <xdr:rowOff>38100</xdr:rowOff>
    </xdr:from>
    <xdr:to>
      <xdr:col>7</xdr:col>
      <xdr:colOff>495300</xdr:colOff>
      <xdr:row>10</xdr:row>
      <xdr:rowOff>180975</xdr:rowOff>
    </xdr:to>
    <xdr:sp macro="" textlink="#REF!">
      <xdr:nvSpPr>
        <xdr:cNvPr id="48" name="Rectangle: Diagonal Corners Snipped 47">
          <a:extLst>
            <a:ext uri="{FF2B5EF4-FFF2-40B4-BE49-F238E27FC236}">
              <a16:creationId xmlns:a16="http://schemas.microsoft.com/office/drawing/2014/main" id="{B259F3C2-4DB9-45AF-A1EC-3D6CC39FDE56}"/>
            </a:ext>
          </a:extLst>
        </xdr:cNvPr>
        <xdr:cNvSpPr/>
      </xdr:nvSpPr>
      <xdr:spPr>
        <a:xfrm>
          <a:off x="4305299" y="1943100"/>
          <a:ext cx="457201" cy="142875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54740BD-70BF-427C-B11F-7CDF2C58C7F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12</a:t>
          </a:fld>
          <a:endParaRPr lang="en-AU" sz="9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8</xdr:col>
      <xdr:colOff>485774</xdr:colOff>
      <xdr:row>5</xdr:row>
      <xdr:rowOff>180975</xdr:rowOff>
    </xdr:from>
    <xdr:to>
      <xdr:col>9</xdr:col>
      <xdr:colOff>333375</xdr:colOff>
      <xdr:row>6</xdr:row>
      <xdr:rowOff>133350</xdr:rowOff>
    </xdr:to>
    <xdr:sp macro="" textlink="#REF!">
      <xdr:nvSpPr>
        <xdr:cNvPr id="49" name="Rectangle: Diagonal Corners Snipped 48">
          <a:extLst>
            <a:ext uri="{FF2B5EF4-FFF2-40B4-BE49-F238E27FC236}">
              <a16:creationId xmlns:a16="http://schemas.microsoft.com/office/drawing/2014/main" id="{0777CA8F-1A72-49E3-A1AD-565D2481E6F2}"/>
            </a:ext>
          </a:extLst>
        </xdr:cNvPr>
        <xdr:cNvSpPr/>
      </xdr:nvSpPr>
      <xdr:spPr>
        <a:xfrm>
          <a:off x="5362574" y="1133475"/>
          <a:ext cx="457201" cy="142875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912C8C3-BF20-4A73-A86C-EE13BB20D33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15</a:t>
          </a:fld>
          <a:endParaRPr lang="en-AU" sz="9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11</xdr:col>
      <xdr:colOff>485774</xdr:colOff>
      <xdr:row>14</xdr:row>
      <xdr:rowOff>152400</xdr:rowOff>
    </xdr:from>
    <xdr:to>
      <xdr:col>12</xdr:col>
      <xdr:colOff>333375</xdr:colOff>
      <xdr:row>15</xdr:row>
      <xdr:rowOff>104775</xdr:rowOff>
    </xdr:to>
    <xdr:sp macro="" textlink="#REF!">
      <xdr:nvSpPr>
        <xdr:cNvPr id="51" name="Rectangle: Diagonal Corners Snipped 50">
          <a:extLst>
            <a:ext uri="{FF2B5EF4-FFF2-40B4-BE49-F238E27FC236}">
              <a16:creationId xmlns:a16="http://schemas.microsoft.com/office/drawing/2014/main" id="{0AE17756-4F59-4063-91B5-B3147BC26EB1}"/>
            </a:ext>
          </a:extLst>
        </xdr:cNvPr>
        <xdr:cNvSpPr/>
      </xdr:nvSpPr>
      <xdr:spPr>
        <a:xfrm>
          <a:off x="7191374" y="2819400"/>
          <a:ext cx="457201" cy="142875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892500C-8A7F-497E-8603-866BE4E5089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10</a:t>
          </a:fld>
          <a:endParaRPr lang="en-AU" sz="9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10</xdr:col>
      <xdr:colOff>323849</xdr:colOff>
      <xdr:row>20</xdr:row>
      <xdr:rowOff>19050</xdr:rowOff>
    </xdr:from>
    <xdr:to>
      <xdr:col>11</xdr:col>
      <xdr:colOff>171450</xdr:colOff>
      <xdr:row>20</xdr:row>
      <xdr:rowOff>161925</xdr:rowOff>
    </xdr:to>
    <xdr:sp macro="" textlink="#REF!">
      <xdr:nvSpPr>
        <xdr:cNvPr id="52" name="Rectangle: Diagonal Corners Snipped 51">
          <a:extLst>
            <a:ext uri="{FF2B5EF4-FFF2-40B4-BE49-F238E27FC236}">
              <a16:creationId xmlns:a16="http://schemas.microsoft.com/office/drawing/2014/main" id="{22D4273F-43BD-4601-B8D5-BB3E879A884E}"/>
            </a:ext>
          </a:extLst>
        </xdr:cNvPr>
        <xdr:cNvSpPr/>
      </xdr:nvSpPr>
      <xdr:spPr>
        <a:xfrm>
          <a:off x="6419849" y="3829050"/>
          <a:ext cx="457201" cy="142875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8156FE14-7005-4522-80C4-A9E92635C1C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11</a:t>
          </a:fld>
          <a:endParaRPr lang="en-AU" sz="9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8</xdr:col>
      <xdr:colOff>504824</xdr:colOff>
      <xdr:row>24</xdr:row>
      <xdr:rowOff>0</xdr:rowOff>
    </xdr:from>
    <xdr:to>
      <xdr:col>9</xdr:col>
      <xdr:colOff>352425</xdr:colOff>
      <xdr:row>24</xdr:row>
      <xdr:rowOff>142875</xdr:rowOff>
    </xdr:to>
    <xdr:sp macro="" textlink="#REF!">
      <xdr:nvSpPr>
        <xdr:cNvPr id="53" name="Rectangle: Diagonal Corners Snipped 52">
          <a:extLst>
            <a:ext uri="{FF2B5EF4-FFF2-40B4-BE49-F238E27FC236}">
              <a16:creationId xmlns:a16="http://schemas.microsoft.com/office/drawing/2014/main" id="{1BBF127B-2655-4ADD-A452-6B41C4D8A444}"/>
            </a:ext>
          </a:extLst>
        </xdr:cNvPr>
        <xdr:cNvSpPr/>
      </xdr:nvSpPr>
      <xdr:spPr>
        <a:xfrm>
          <a:off x="5381624" y="4572000"/>
          <a:ext cx="457201" cy="142875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F733B75-9BD3-4A44-A825-6A813F2D203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11</a:t>
          </a:fld>
          <a:endParaRPr lang="en-AU" sz="9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7</xdr:col>
      <xdr:colOff>28574</xdr:colOff>
      <xdr:row>19</xdr:row>
      <xdr:rowOff>161925</xdr:rowOff>
    </xdr:from>
    <xdr:to>
      <xdr:col>7</xdr:col>
      <xdr:colOff>485775</xdr:colOff>
      <xdr:row>20</xdr:row>
      <xdr:rowOff>114300</xdr:rowOff>
    </xdr:to>
    <xdr:sp macro="" textlink="#REF!">
      <xdr:nvSpPr>
        <xdr:cNvPr id="54" name="Rectangle: Diagonal Corners Snipped 53">
          <a:extLst>
            <a:ext uri="{FF2B5EF4-FFF2-40B4-BE49-F238E27FC236}">
              <a16:creationId xmlns:a16="http://schemas.microsoft.com/office/drawing/2014/main" id="{43C6263C-0C89-481F-A62A-3B990C7867C7}"/>
            </a:ext>
          </a:extLst>
        </xdr:cNvPr>
        <xdr:cNvSpPr/>
      </xdr:nvSpPr>
      <xdr:spPr>
        <a:xfrm>
          <a:off x="4295774" y="3781425"/>
          <a:ext cx="457201" cy="142875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A3CD2417-67B1-4D7B-AB5C-B4B11A577A9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13</a:t>
          </a:fld>
          <a:endParaRPr lang="en-AU" sz="9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10</xdr:col>
      <xdr:colOff>276225</xdr:colOff>
      <xdr:row>10</xdr:row>
      <xdr:rowOff>19050</xdr:rowOff>
    </xdr:from>
    <xdr:to>
      <xdr:col>11</xdr:col>
      <xdr:colOff>123826</xdr:colOff>
      <xdr:row>10</xdr:row>
      <xdr:rowOff>161925</xdr:rowOff>
    </xdr:to>
    <xdr:sp macro="" textlink="#REF!">
      <xdr:nvSpPr>
        <xdr:cNvPr id="55" name="Rectangle: Diagonal Corners Snipped 54">
          <a:extLst>
            <a:ext uri="{FF2B5EF4-FFF2-40B4-BE49-F238E27FC236}">
              <a16:creationId xmlns:a16="http://schemas.microsoft.com/office/drawing/2014/main" id="{7808474C-411E-4F05-AA3C-468A8F244CCD}"/>
            </a:ext>
          </a:extLst>
        </xdr:cNvPr>
        <xdr:cNvSpPr/>
      </xdr:nvSpPr>
      <xdr:spPr>
        <a:xfrm>
          <a:off x="6372225" y="1924050"/>
          <a:ext cx="457201" cy="142875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2439A25-038E-4209-A201-212CCF5BC54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11</a:t>
          </a:fld>
          <a:endParaRPr lang="en-AU" sz="9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0</xdr:col>
      <xdr:colOff>200025</xdr:colOff>
      <xdr:row>2</xdr:row>
      <xdr:rowOff>180976</xdr:rowOff>
    </xdr:from>
    <xdr:to>
      <xdr:col>1</xdr:col>
      <xdr:colOff>422772</xdr:colOff>
      <xdr:row>6</xdr:row>
      <xdr:rowOff>85725</xdr:rowOff>
    </xdr:to>
    <xdr:sp macro="" textlink="B50">
      <xdr:nvSpPr>
        <xdr:cNvPr id="56" name="Rectangle: Diagonal Corners Snipped 55">
          <a:extLst>
            <a:ext uri="{FF2B5EF4-FFF2-40B4-BE49-F238E27FC236}">
              <a16:creationId xmlns:a16="http://schemas.microsoft.com/office/drawing/2014/main" id="{FC8102FB-6491-CAEB-68A3-31A837196617}"/>
            </a:ext>
          </a:extLst>
        </xdr:cNvPr>
        <xdr:cNvSpPr/>
      </xdr:nvSpPr>
      <xdr:spPr>
        <a:xfrm>
          <a:off x="200025" y="561976"/>
          <a:ext cx="832347" cy="666749"/>
        </a:xfrm>
        <a:prstGeom prst="snip2Diag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60D20A2D-9452-4D60-BF72-1A8D85B45B83}" type="TxLink">
            <a:rPr lang="en-US" sz="3600" b="0" i="0" u="none" strike="noStrike">
              <a:solidFill>
                <a:srgbClr val="000000"/>
              </a:solidFill>
              <a:latin typeface="Bahnschrift SemiBold" panose="020B0502040204020203" pitchFamily="34" charset="0"/>
              <a:cs typeface="Calibri"/>
            </a:rPr>
            <a:pPr algn="ctr"/>
            <a:t>3</a:t>
          </a:fld>
          <a:endParaRPr lang="en-AU" sz="36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3</xdr:col>
      <xdr:colOff>295275</xdr:colOff>
      <xdr:row>3</xdr:row>
      <xdr:rowOff>1</xdr:rowOff>
    </xdr:from>
    <xdr:to>
      <xdr:col>5</xdr:col>
      <xdr:colOff>352425</xdr:colOff>
      <xdr:row>6</xdr:row>
      <xdr:rowOff>95250</xdr:rowOff>
    </xdr:to>
    <xdr:sp macro="" textlink="$B$54">
      <xdr:nvSpPr>
        <xdr:cNvPr id="58" name="Rectangle: Diagonal Corners Snipped 57">
          <a:extLst>
            <a:ext uri="{FF2B5EF4-FFF2-40B4-BE49-F238E27FC236}">
              <a16:creationId xmlns:a16="http://schemas.microsoft.com/office/drawing/2014/main" id="{4A448FFC-910B-437A-952D-5767A3C56942}"/>
            </a:ext>
          </a:extLst>
        </xdr:cNvPr>
        <xdr:cNvSpPr/>
      </xdr:nvSpPr>
      <xdr:spPr>
        <a:xfrm>
          <a:off x="2136775" y="571501"/>
          <a:ext cx="1284817" cy="666749"/>
        </a:xfrm>
        <a:prstGeom prst="snip2Diag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1EC94BB5-AE20-4D5B-BA1F-78003D464A4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10</a:t>
          </a:fld>
          <a:endParaRPr lang="en-AU" sz="36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0</xdr:col>
      <xdr:colOff>304798</xdr:colOff>
      <xdr:row>5</xdr:row>
      <xdr:rowOff>171449</xdr:rowOff>
    </xdr:from>
    <xdr:to>
      <xdr:col>1</xdr:col>
      <xdr:colOff>514349</xdr:colOff>
      <xdr:row>6</xdr:row>
      <xdr:rowOff>152400</xdr:rowOff>
    </xdr:to>
    <xdr:sp macro="" textlink="">
      <xdr:nvSpPr>
        <xdr:cNvPr id="60" name="Rectangle: Diagonal Corners Snipped 59">
          <a:extLst>
            <a:ext uri="{FF2B5EF4-FFF2-40B4-BE49-F238E27FC236}">
              <a16:creationId xmlns:a16="http://schemas.microsoft.com/office/drawing/2014/main" id="{B2E9B86B-8E33-43D7-B9A1-FBAFAA3F28BD}"/>
            </a:ext>
          </a:extLst>
        </xdr:cNvPr>
        <xdr:cNvSpPr/>
      </xdr:nvSpPr>
      <xdr:spPr>
        <a:xfrm>
          <a:off x="304798" y="1123949"/>
          <a:ext cx="819151" cy="171451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900">
              <a:latin typeface="Bahnschrift SemiBold" panose="020B0502040204020203" pitchFamily="34" charset="0"/>
            </a:rPr>
            <a:t>HIT</a:t>
          </a:r>
          <a:r>
            <a:rPr lang="en-AU" sz="900" baseline="0">
              <a:latin typeface="Bahnschrift SemiBold" panose="020B0502040204020203" pitchFamily="34" charset="0"/>
            </a:rPr>
            <a:t> POINTS</a:t>
          </a:r>
          <a:endParaRPr lang="en-AU" sz="9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2</xdr:col>
      <xdr:colOff>66673</xdr:colOff>
      <xdr:row>5</xdr:row>
      <xdr:rowOff>190499</xdr:rowOff>
    </xdr:from>
    <xdr:to>
      <xdr:col>3</xdr:col>
      <xdr:colOff>228598</xdr:colOff>
      <xdr:row>6</xdr:row>
      <xdr:rowOff>152400</xdr:rowOff>
    </xdr:to>
    <xdr:sp macro="" textlink="">
      <xdr:nvSpPr>
        <xdr:cNvPr id="61" name="Rectangle: Diagonal Corners Snipped 60">
          <a:extLst>
            <a:ext uri="{FF2B5EF4-FFF2-40B4-BE49-F238E27FC236}">
              <a16:creationId xmlns:a16="http://schemas.microsoft.com/office/drawing/2014/main" id="{F70CD5D9-533A-4F1A-9AD3-898DCB0DF55E}"/>
            </a:ext>
          </a:extLst>
        </xdr:cNvPr>
        <xdr:cNvSpPr/>
      </xdr:nvSpPr>
      <xdr:spPr>
        <a:xfrm>
          <a:off x="1285873" y="1142999"/>
          <a:ext cx="771525" cy="152401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900">
              <a:latin typeface="Bahnschrift SemiBold" panose="020B0502040204020203" pitchFamily="34" charset="0"/>
            </a:rPr>
            <a:t>AC</a:t>
          </a:r>
        </a:p>
      </xdr:txBody>
    </xdr:sp>
    <xdr:clientData/>
  </xdr:twoCellAnchor>
  <xdr:twoCellAnchor>
    <xdr:from>
      <xdr:col>3</xdr:col>
      <xdr:colOff>438148</xdr:colOff>
      <xdr:row>5</xdr:row>
      <xdr:rowOff>190499</xdr:rowOff>
    </xdr:from>
    <xdr:to>
      <xdr:col>5</xdr:col>
      <xdr:colOff>314325</xdr:colOff>
      <xdr:row>6</xdr:row>
      <xdr:rowOff>142875</xdr:rowOff>
    </xdr:to>
    <xdr:sp macro="" textlink="">
      <xdr:nvSpPr>
        <xdr:cNvPr id="62" name="Rectangle: Diagonal Corners Snipped 61">
          <a:extLst>
            <a:ext uri="{FF2B5EF4-FFF2-40B4-BE49-F238E27FC236}">
              <a16:creationId xmlns:a16="http://schemas.microsoft.com/office/drawing/2014/main" id="{F13A9FC2-CDA6-402C-A61E-064BE3C3D10F}"/>
            </a:ext>
          </a:extLst>
        </xdr:cNvPr>
        <xdr:cNvSpPr/>
      </xdr:nvSpPr>
      <xdr:spPr>
        <a:xfrm>
          <a:off x="2266948" y="1142999"/>
          <a:ext cx="1095377" cy="142876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900">
              <a:latin typeface="Bahnschrift SemiBold" panose="020B0502040204020203" pitchFamily="34" charset="0"/>
            </a:rPr>
            <a:t>SPELL</a:t>
          </a:r>
          <a:r>
            <a:rPr lang="en-AU" sz="900" baseline="0">
              <a:latin typeface="Bahnschrift SemiBold" panose="020B0502040204020203" pitchFamily="34" charset="0"/>
            </a:rPr>
            <a:t> SAVE</a:t>
          </a:r>
          <a:endParaRPr lang="en-AU" sz="9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0</xdr:col>
      <xdr:colOff>66673</xdr:colOff>
      <xdr:row>2</xdr:row>
      <xdr:rowOff>95249</xdr:rowOff>
    </xdr:from>
    <xdr:to>
      <xdr:col>1</xdr:col>
      <xdr:colOff>228598</xdr:colOff>
      <xdr:row>3</xdr:row>
      <xdr:rowOff>76199</xdr:rowOff>
    </xdr:to>
    <xdr:sp macro="" textlink="">
      <xdr:nvSpPr>
        <xdr:cNvPr id="63" name="Rectangle: Diagonal Corners Snipped 62">
          <a:extLst>
            <a:ext uri="{FF2B5EF4-FFF2-40B4-BE49-F238E27FC236}">
              <a16:creationId xmlns:a16="http://schemas.microsoft.com/office/drawing/2014/main" id="{732E1354-FE11-48EE-B479-89AA771039F3}"/>
            </a:ext>
          </a:extLst>
        </xdr:cNvPr>
        <xdr:cNvSpPr/>
      </xdr:nvSpPr>
      <xdr:spPr>
        <a:xfrm>
          <a:off x="66673" y="476249"/>
          <a:ext cx="771525" cy="171450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900">
              <a:latin typeface="Bahnschrift SemiBold" panose="020B0502040204020203" pitchFamily="34" charset="0"/>
            </a:rPr>
            <a:t>MAX:</a:t>
          </a:r>
          <a:r>
            <a:rPr lang="en-AU" sz="900" baseline="0">
              <a:latin typeface="Bahnschrift SemiBold" panose="020B0502040204020203" pitchFamily="34" charset="0"/>
            </a:rPr>
            <a:t> </a:t>
          </a:r>
          <a:endParaRPr lang="en-AU" sz="9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11</xdr:col>
      <xdr:colOff>238125</xdr:colOff>
      <xdr:row>5</xdr:row>
      <xdr:rowOff>28576</xdr:rowOff>
    </xdr:from>
    <xdr:to>
      <xdr:col>13</xdr:col>
      <xdr:colOff>257175</xdr:colOff>
      <xdr:row>8</xdr:row>
      <xdr:rowOff>180976</xdr:rowOff>
    </xdr:to>
    <xdr:sp macro="" textlink="$V$15">
      <xdr:nvSpPr>
        <xdr:cNvPr id="65" name="Rectangle: Diagonal Corners Snipped 64">
          <a:extLst>
            <a:ext uri="{FF2B5EF4-FFF2-40B4-BE49-F238E27FC236}">
              <a16:creationId xmlns:a16="http://schemas.microsoft.com/office/drawing/2014/main" id="{142DF546-DEF1-4A18-A977-9711505DCEFA}"/>
            </a:ext>
          </a:extLst>
        </xdr:cNvPr>
        <xdr:cNvSpPr/>
      </xdr:nvSpPr>
      <xdr:spPr>
        <a:xfrm>
          <a:off x="6943725" y="981076"/>
          <a:ext cx="1238250" cy="723900"/>
        </a:xfrm>
        <a:prstGeom prst="snip2Diag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406D9D60-6192-480E-958B-1AC48A96590F}" type="TxLink">
            <a:rPr lang="en-US" sz="3600" b="0" i="0" u="none" strike="noStrike">
              <a:solidFill>
                <a:srgbClr val="000000"/>
              </a:solidFill>
              <a:latin typeface="Bahnschrift SemiBold" panose="020B0502040204020203" pitchFamily="34" charset="0"/>
              <a:cs typeface="Calibri"/>
            </a:rPr>
            <a:pPr algn="ctr"/>
            <a:t>35</a:t>
          </a:fld>
          <a:endParaRPr lang="en-AU" sz="36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11</xdr:col>
      <xdr:colOff>371475</xdr:colOff>
      <xdr:row>8</xdr:row>
      <xdr:rowOff>142875</xdr:rowOff>
    </xdr:from>
    <xdr:to>
      <xdr:col>13</xdr:col>
      <xdr:colOff>161925</xdr:colOff>
      <xdr:row>9</xdr:row>
      <xdr:rowOff>114301</xdr:rowOff>
    </xdr:to>
    <xdr:sp macro="" textlink="">
      <xdr:nvSpPr>
        <xdr:cNvPr id="67" name="Rectangle: Diagonal Corners Snipped 66">
          <a:extLst>
            <a:ext uri="{FF2B5EF4-FFF2-40B4-BE49-F238E27FC236}">
              <a16:creationId xmlns:a16="http://schemas.microsoft.com/office/drawing/2014/main" id="{D9F3C4DB-99E8-4BA6-801B-3B149DF14D15}"/>
            </a:ext>
          </a:extLst>
        </xdr:cNvPr>
        <xdr:cNvSpPr/>
      </xdr:nvSpPr>
      <xdr:spPr>
        <a:xfrm>
          <a:off x="7077075" y="1666875"/>
          <a:ext cx="1009650" cy="161926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900">
              <a:latin typeface="Bahnschrift SemiBold" panose="020B0502040204020203" pitchFamily="34" charset="0"/>
            </a:rPr>
            <a:t>MOVEMENT (ft)</a:t>
          </a:r>
        </a:p>
      </xdr:txBody>
    </xdr:sp>
    <xdr:clientData/>
  </xdr:twoCellAnchor>
  <xdr:twoCellAnchor>
    <xdr:from>
      <xdr:col>14</xdr:col>
      <xdr:colOff>67733</xdr:colOff>
      <xdr:row>4</xdr:row>
      <xdr:rowOff>9526</xdr:rowOff>
    </xdr:from>
    <xdr:to>
      <xdr:col>15</xdr:col>
      <xdr:colOff>290480</xdr:colOff>
      <xdr:row>7</xdr:row>
      <xdr:rowOff>104775</xdr:rowOff>
    </xdr:to>
    <xdr:sp macro="" textlink="$V$13">
      <xdr:nvSpPr>
        <xdr:cNvPr id="102" name="Rectangle: Diagonal Corners Snipped 101">
          <a:extLst>
            <a:ext uri="{FF2B5EF4-FFF2-40B4-BE49-F238E27FC236}">
              <a16:creationId xmlns:a16="http://schemas.microsoft.com/office/drawing/2014/main" id="{103787A6-9A52-4640-A763-D5654CBDA293}"/>
            </a:ext>
          </a:extLst>
        </xdr:cNvPr>
        <xdr:cNvSpPr/>
      </xdr:nvSpPr>
      <xdr:spPr>
        <a:xfrm>
          <a:off x="8661400" y="771526"/>
          <a:ext cx="836580" cy="666749"/>
        </a:xfrm>
        <a:prstGeom prst="snip2Diag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19627E20-7B0F-4F21-B5CB-A9C90F3BED34}" type="TxLink">
            <a:rPr lang="en-US" sz="3600" b="0" i="0" u="none" strike="noStrike">
              <a:solidFill>
                <a:srgbClr val="000000"/>
              </a:solidFill>
              <a:latin typeface="Bahnschrift SemiBold" panose="020B0502040204020203" pitchFamily="34" charset="0"/>
            </a:rPr>
            <a:pPr algn="ctr"/>
            <a:t>2</a:t>
          </a:fld>
          <a:endParaRPr lang="en-AU" sz="36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14</xdr:col>
      <xdr:colOff>162981</xdr:colOff>
      <xdr:row>7</xdr:row>
      <xdr:rowOff>57149</xdr:rowOff>
    </xdr:from>
    <xdr:to>
      <xdr:col>15</xdr:col>
      <xdr:colOff>324906</xdr:colOff>
      <xdr:row>8</xdr:row>
      <xdr:rowOff>38099</xdr:rowOff>
    </xdr:to>
    <xdr:sp macro="" textlink="">
      <xdr:nvSpPr>
        <xdr:cNvPr id="103" name="Rectangle: Diagonal Corners Snipped 102">
          <a:extLst>
            <a:ext uri="{FF2B5EF4-FFF2-40B4-BE49-F238E27FC236}">
              <a16:creationId xmlns:a16="http://schemas.microsoft.com/office/drawing/2014/main" id="{A0E55217-5C94-4B9E-BE31-A89E2FAB22D6}"/>
            </a:ext>
          </a:extLst>
        </xdr:cNvPr>
        <xdr:cNvSpPr/>
      </xdr:nvSpPr>
      <xdr:spPr>
        <a:xfrm>
          <a:off x="8756648" y="1390649"/>
          <a:ext cx="775758" cy="171450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900">
              <a:latin typeface="Bahnschrift SemiBold" panose="020B0502040204020203" pitchFamily="34" charset="0"/>
            </a:rPr>
            <a:t>WILL</a:t>
          </a:r>
        </a:p>
      </xdr:txBody>
    </xdr:sp>
    <xdr:clientData/>
  </xdr:twoCellAnchor>
  <xdr:twoCellAnchor>
    <xdr:from>
      <xdr:col>11</xdr:col>
      <xdr:colOff>552450</xdr:colOff>
      <xdr:row>25</xdr:row>
      <xdr:rowOff>171450</xdr:rowOff>
    </xdr:from>
    <xdr:to>
      <xdr:col>13</xdr:col>
      <xdr:colOff>165597</xdr:colOff>
      <xdr:row>29</xdr:row>
      <xdr:rowOff>76199</xdr:rowOff>
    </xdr:to>
    <xdr:sp macro="" textlink="$B$53">
      <xdr:nvSpPr>
        <xdr:cNvPr id="104" name="Rectangle: Diagonal Corners Snipped 103">
          <a:extLst>
            <a:ext uri="{FF2B5EF4-FFF2-40B4-BE49-F238E27FC236}">
              <a16:creationId xmlns:a16="http://schemas.microsoft.com/office/drawing/2014/main" id="{BD0AD055-80C9-4282-8139-FCF5EB08C83D}"/>
            </a:ext>
          </a:extLst>
        </xdr:cNvPr>
        <xdr:cNvSpPr/>
      </xdr:nvSpPr>
      <xdr:spPr>
        <a:xfrm>
          <a:off x="7258050" y="4933950"/>
          <a:ext cx="832347" cy="666749"/>
        </a:xfrm>
        <a:prstGeom prst="snip2Diag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4AF8EF42-90F0-4D44-B9C1-D40425F270FD}" type="TxLink">
            <a:rPr lang="en-US" sz="3600" b="0" i="0" u="none" strike="noStrike">
              <a:solidFill>
                <a:srgbClr val="000000"/>
              </a:solidFill>
              <a:latin typeface="Bahnschrift SemiBold" panose="020B0502040204020203" pitchFamily="34" charset="0"/>
              <a:cs typeface="Calibri"/>
            </a:rPr>
            <a:pPr algn="ctr"/>
            <a:t>10</a:t>
          </a:fld>
          <a:endParaRPr lang="en-US" sz="88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11</xdr:col>
      <xdr:colOff>495301</xdr:colOff>
      <xdr:row>29</xdr:row>
      <xdr:rowOff>57148</xdr:rowOff>
    </xdr:from>
    <xdr:to>
      <xdr:col>13</xdr:col>
      <xdr:colOff>323849</xdr:colOff>
      <xdr:row>30</xdr:row>
      <xdr:rowOff>28575</xdr:rowOff>
    </xdr:to>
    <xdr:sp macro="" textlink="">
      <xdr:nvSpPr>
        <xdr:cNvPr id="105" name="Rectangle: Diagonal Corners Snipped 104">
          <a:extLst>
            <a:ext uri="{FF2B5EF4-FFF2-40B4-BE49-F238E27FC236}">
              <a16:creationId xmlns:a16="http://schemas.microsoft.com/office/drawing/2014/main" id="{27575026-8CEA-441C-9CB6-12356C3CC89B}"/>
            </a:ext>
          </a:extLst>
        </xdr:cNvPr>
        <xdr:cNvSpPr/>
      </xdr:nvSpPr>
      <xdr:spPr>
        <a:xfrm>
          <a:off x="7200901" y="5581648"/>
          <a:ext cx="1047748" cy="161927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900">
              <a:latin typeface="Bahnschrift SemiBold" panose="020B0502040204020203" pitchFamily="34" charset="0"/>
            </a:rPr>
            <a:t>WEIGHT CLASS</a:t>
          </a:r>
        </a:p>
      </xdr:txBody>
    </xdr:sp>
    <xdr:clientData/>
  </xdr:twoCellAnchor>
  <xdr:twoCellAnchor>
    <xdr:from>
      <xdr:col>5</xdr:col>
      <xdr:colOff>419100</xdr:colOff>
      <xdr:row>4</xdr:row>
      <xdr:rowOff>133351</xdr:rowOff>
    </xdr:from>
    <xdr:to>
      <xdr:col>6</xdr:col>
      <xdr:colOff>451597</xdr:colOff>
      <xdr:row>7</xdr:row>
      <xdr:rowOff>76201</xdr:rowOff>
    </xdr:to>
    <xdr:sp macro="" textlink="$V$18">
      <xdr:nvSpPr>
        <xdr:cNvPr id="110" name="Rectangle: Diagonal Corners Snipped 109">
          <a:extLst>
            <a:ext uri="{FF2B5EF4-FFF2-40B4-BE49-F238E27FC236}">
              <a16:creationId xmlns:a16="http://schemas.microsoft.com/office/drawing/2014/main" id="{A8AB12AF-C04D-4AE8-BB5E-A9CA59143184}"/>
            </a:ext>
          </a:extLst>
        </xdr:cNvPr>
        <xdr:cNvSpPr/>
      </xdr:nvSpPr>
      <xdr:spPr>
        <a:xfrm>
          <a:off x="3467100" y="895351"/>
          <a:ext cx="642097" cy="514350"/>
        </a:xfrm>
        <a:prstGeom prst="snip2Diag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3CBC37CA-C410-4244-A3C2-2565D7E6E50F}" type="TxLink">
            <a:rPr lang="en-US" sz="3600" b="0" i="0" u="none" strike="noStrike">
              <a:solidFill>
                <a:srgbClr val="000000"/>
              </a:solidFill>
              <a:latin typeface="Bahnschrift SemiBold" panose="020B0502040204020203" pitchFamily="34" charset="0"/>
              <a:cs typeface="Calibri"/>
            </a:rPr>
            <a:pPr algn="ctr"/>
            <a:t>1</a:t>
          </a:fld>
          <a:endParaRPr lang="en-AU" sz="36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5</xdr:col>
      <xdr:colOff>419099</xdr:colOff>
      <xdr:row>7</xdr:row>
      <xdr:rowOff>63500</xdr:rowOff>
    </xdr:from>
    <xdr:to>
      <xdr:col>7</xdr:col>
      <xdr:colOff>84666</xdr:colOff>
      <xdr:row>8</xdr:row>
      <xdr:rowOff>28575</xdr:rowOff>
    </xdr:to>
    <xdr:sp macro="" textlink="">
      <xdr:nvSpPr>
        <xdr:cNvPr id="111" name="Rectangle: Diagonal Corners Snipped 110">
          <a:extLst>
            <a:ext uri="{FF2B5EF4-FFF2-40B4-BE49-F238E27FC236}">
              <a16:creationId xmlns:a16="http://schemas.microsoft.com/office/drawing/2014/main" id="{B323F5A2-F946-4436-BA18-DD27080E555D}"/>
            </a:ext>
          </a:extLst>
        </xdr:cNvPr>
        <xdr:cNvSpPr/>
      </xdr:nvSpPr>
      <xdr:spPr>
        <a:xfrm>
          <a:off x="3488266" y="1397000"/>
          <a:ext cx="893233" cy="155575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900">
              <a:latin typeface="Bahnschrift SemiBold" panose="020B0502040204020203" pitchFamily="34" charset="0"/>
            </a:rPr>
            <a:t>Ehancement</a:t>
          </a:r>
        </a:p>
      </xdr:txBody>
    </xdr:sp>
    <xdr:clientData/>
  </xdr:twoCellAnchor>
  <xdr:twoCellAnchor>
    <xdr:from>
      <xdr:col>15</xdr:col>
      <xdr:colOff>402167</xdr:colOff>
      <xdr:row>3</xdr:row>
      <xdr:rowOff>84667</xdr:rowOff>
    </xdr:from>
    <xdr:to>
      <xdr:col>17</xdr:col>
      <xdr:colOff>508000</xdr:colOff>
      <xdr:row>6</xdr:row>
      <xdr:rowOff>179916</xdr:rowOff>
    </xdr:to>
    <xdr:sp macro="" textlink="">
      <xdr:nvSpPr>
        <xdr:cNvPr id="14" name="Rectangle: Diagonal Corners Snipped 13">
          <a:extLst>
            <a:ext uri="{FF2B5EF4-FFF2-40B4-BE49-F238E27FC236}">
              <a16:creationId xmlns:a16="http://schemas.microsoft.com/office/drawing/2014/main" id="{BC393E2B-D514-41C6-A38A-B429D0D0FAB9}"/>
            </a:ext>
          </a:extLst>
        </xdr:cNvPr>
        <xdr:cNvSpPr/>
      </xdr:nvSpPr>
      <xdr:spPr>
        <a:xfrm>
          <a:off x="9609667" y="656167"/>
          <a:ext cx="1333500" cy="666749"/>
        </a:xfrm>
        <a:prstGeom prst="snip2Diag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AU" sz="3600" b="0" i="0" u="none" strike="noStrike">
            <a:solidFill>
              <a:srgbClr val="000000"/>
            </a:solidFill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15</xdr:col>
      <xdr:colOff>590547</xdr:colOff>
      <xdr:row>6</xdr:row>
      <xdr:rowOff>116417</xdr:rowOff>
    </xdr:from>
    <xdr:to>
      <xdr:col>17</xdr:col>
      <xdr:colOff>412749</xdr:colOff>
      <xdr:row>7</xdr:row>
      <xdr:rowOff>126999</xdr:rowOff>
    </xdr:to>
    <xdr:sp macro="" textlink="">
      <xdr:nvSpPr>
        <xdr:cNvPr id="21" name="Rectangle: Diagonal Corners Snipped 20">
          <a:extLst>
            <a:ext uri="{FF2B5EF4-FFF2-40B4-BE49-F238E27FC236}">
              <a16:creationId xmlns:a16="http://schemas.microsoft.com/office/drawing/2014/main" id="{F47008D5-E4CB-4A2E-839B-8D27429A968D}"/>
            </a:ext>
          </a:extLst>
        </xdr:cNvPr>
        <xdr:cNvSpPr/>
      </xdr:nvSpPr>
      <xdr:spPr>
        <a:xfrm>
          <a:off x="9798047" y="1259417"/>
          <a:ext cx="1049869" cy="201082"/>
        </a:xfrm>
        <a:prstGeom prst="snip2Diag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900">
              <a:latin typeface="Bahnschrift SemiBold" panose="020B0502040204020203" pitchFamily="34" charset="0"/>
            </a:rPr>
            <a:t>SPELL</a:t>
          </a:r>
          <a:r>
            <a:rPr lang="en-AU" sz="900" baseline="0">
              <a:latin typeface="Bahnschrift SemiBold" panose="020B0502040204020203" pitchFamily="34" charset="0"/>
            </a:rPr>
            <a:t> POINTS</a:t>
          </a:r>
          <a:endParaRPr lang="en-AU" sz="900">
            <a:latin typeface="Bahnschrift SemiBold" panose="020B0502040204020203" pitchFamily="34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5403CD4-DC51-4537-9AAA-CF4C49B9C808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AA3546-14C0-4351-BC39-276ED0F383E0}" name="SoulStrikerData1__10" displayName="SoulStrikerData1__10" ref="A1:B82" tableType="queryTable" totalsRowShown="0">
  <autoFilter ref="A1:B82" xr:uid="{94AA3546-14C0-4351-BC39-276ED0F383E0}"/>
  <tableColumns count="2">
    <tableColumn id="1" xr3:uid="{239592D9-863B-431A-9857-162708AAE274}" uniqueName="1" name="Column1" queryTableFieldId="1" dataDxfId="1"/>
    <tableColumn id="2" xr3:uid="{29367D18-E2ED-4F24-94BD-9DD53E4A5980}" uniqueName="2" name="Column2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67"/>
  <sheetViews>
    <sheetView tabSelected="1" zoomScale="85" zoomScaleNormal="85" workbookViewId="0">
      <selection activeCell="C1" sqref="C1:C1048576"/>
    </sheetView>
  </sheetViews>
  <sheetFormatPr defaultRowHeight="15" x14ac:dyDescent="0.25"/>
  <cols>
    <col min="12" max="12" width="11.140625" customWidth="1"/>
    <col min="20" max="20" width="9.140625" style="26"/>
    <col min="21" max="21" width="18.5703125" bestFit="1" customWidth="1"/>
    <col min="25" max="26" width="9.140625" style="26"/>
    <col min="27" max="27" width="57.28515625" bestFit="1" customWidth="1"/>
    <col min="28" max="29" width="9.140625" style="26"/>
  </cols>
  <sheetData>
    <row r="1" spans="1:3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U1" s="26"/>
      <c r="V1" s="26"/>
      <c r="W1" s="26"/>
      <c r="X1" s="26"/>
      <c r="AA1" s="26"/>
    </row>
    <row r="2" spans="1:32" x14ac:dyDescent="0.25">
      <c r="A2" s="1"/>
      <c r="B2" s="2" t="s">
        <v>0</v>
      </c>
      <c r="C2" s="1"/>
      <c r="D2" s="1"/>
      <c r="E2" s="1"/>
      <c r="F2" s="1"/>
      <c r="G2" s="2" t="s">
        <v>1</v>
      </c>
      <c r="H2" s="1"/>
      <c r="I2" s="1" t="str">
        <f>SoulStrikerData1!B77</f>
        <v>cybr</v>
      </c>
      <c r="J2" s="1"/>
      <c r="K2" s="1"/>
      <c r="L2" s="2" t="s">
        <v>305</v>
      </c>
      <c r="M2" s="1" t="str">
        <f>SoulStrikerData1!B81</f>
        <v>carnage</v>
      </c>
      <c r="N2" s="1"/>
      <c r="O2" s="1"/>
      <c r="P2" s="1"/>
      <c r="Q2" s="2" t="s">
        <v>23</v>
      </c>
      <c r="R2" s="1"/>
      <c r="S2" s="1"/>
      <c r="U2" s="26"/>
      <c r="V2" s="26"/>
      <c r="W2" s="26"/>
      <c r="X2" s="26"/>
      <c r="AA2" s="26"/>
    </row>
    <row r="3" spans="1:32" x14ac:dyDescent="0.25">
      <c r="A3" s="1"/>
      <c r="B3" s="2"/>
      <c r="C3" s="1"/>
      <c r="D3" s="1"/>
      <c r="E3" s="1"/>
      <c r="F3" s="1"/>
      <c r="G3" s="2" t="s">
        <v>2</v>
      </c>
      <c r="H3" s="1"/>
      <c r="I3" s="1"/>
      <c r="J3" s="1"/>
      <c r="K3" s="1"/>
      <c r="L3" s="2" t="s">
        <v>306</v>
      </c>
      <c r="M3" s="1" t="str">
        <f>SoulStrikerData1!B82</f>
        <v>folk hero</v>
      </c>
      <c r="N3" s="1"/>
      <c r="O3" s="1"/>
      <c r="P3" s="1"/>
      <c r="Q3" s="1"/>
      <c r="R3" s="1"/>
      <c r="S3" s="1"/>
      <c r="U3" s="10" t="s">
        <v>35</v>
      </c>
      <c r="V3" s="9">
        <v>1</v>
      </c>
      <c r="W3" s="9"/>
      <c r="X3" s="9"/>
      <c r="Z3" s="15"/>
      <c r="AA3" s="15" t="s">
        <v>147</v>
      </c>
      <c r="AB3" s="27"/>
      <c r="AC3" s="27"/>
      <c r="AD3" s="23"/>
      <c r="AE3" s="23"/>
      <c r="AF3" s="23"/>
    </row>
    <row r="4" spans="1:3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U4" s="10" t="s">
        <v>26</v>
      </c>
      <c r="V4" s="11">
        <f>FLOOR((SoulStrikerData1!C2 - 10)/2,1)</f>
        <v>2</v>
      </c>
      <c r="W4" s="9"/>
      <c r="X4" s="9"/>
      <c r="AA4" s="24"/>
    </row>
    <row r="5" spans="1:3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U5" s="10" t="s">
        <v>27</v>
      </c>
      <c r="V5" s="11">
        <f>FLOOR((SoulStrikerData1!C3 - 10)/2,1)</f>
        <v>1</v>
      </c>
      <c r="W5" s="9"/>
      <c r="X5" s="9"/>
      <c r="AA5" s="24" t="s">
        <v>148</v>
      </c>
    </row>
    <row r="6" spans="1:3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U6" s="10" t="s">
        <v>28</v>
      </c>
      <c r="V6" s="11">
        <f>FLOOR((SoulStrikerData1!C4 - 10)/2,1)</f>
        <v>1</v>
      </c>
      <c r="W6" s="10" t="s">
        <v>24</v>
      </c>
      <c r="X6" s="9">
        <f>SoulStrikerData1!C10*2 + 0</f>
        <v>2</v>
      </c>
      <c r="AA6" s="24" t="s">
        <v>149</v>
      </c>
    </row>
    <row r="7" spans="1:3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U7" s="10" t="s">
        <v>29</v>
      </c>
      <c r="V7" s="11">
        <f>FLOOR((SoulStrikerData1!C5 - 10)/2,1)</f>
        <v>1</v>
      </c>
      <c r="W7" s="9"/>
      <c r="X7" s="9"/>
      <c r="AA7" s="24" t="s">
        <v>150</v>
      </c>
    </row>
    <row r="8" spans="1:3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U8" s="10" t="s">
        <v>30</v>
      </c>
      <c r="V8" s="11">
        <f>FLOOR((SoulStrikerData1!C6 - 10)/2,1)</f>
        <v>0</v>
      </c>
      <c r="W8" s="9"/>
      <c r="X8" s="9"/>
      <c r="AA8" s="24"/>
    </row>
    <row r="9" spans="1:32" x14ac:dyDescent="0.25">
      <c r="A9" s="1"/>
      <c r="B9" s="1"/>
      <c r="C9" s="1"/>
      <c r="D9" s="2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U9" s="10" t="s">
        <v>31</v>
      </c>
      <c r="V9" s="11">
        <f>FLOOR((SoulStrikerData1!C7 - 10)/2,1)</f>
        <v>0</v>
      </c>
      <c r="W9" s="9"/>
      <c r="X9" s="9"/>
      <c r="AA9" s="24" t="s">
        <v>151</v>
      </c>
    </row>
    <row r="10" spans="1:3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U10" s="10" t="s">
        <v>33</v>
      </c>
      <c r="V10" s="11">
        <f>FLOOR((SoulStrikerData1!C8 - 10)/2,1)</f>
        <v>0</v>
      </c>
      <c r="W10" s="9"/>
      <c r="X10" s="9"/>
      <c r="AA10" s="24" t="s">
        <v>152</v>
      </c>
    </row>
    <row r="11" spans="1:32" x14ac:dyDescent="0.25">
      <c r="A11" s="1"/>
      <c r="B11" s="8" t="s">
        <v>22</v>
      </c>
      <c r="C11" s="5"/>
      <c r="D11" s="5"/>
      <c r="E11" s="1"/>
      <c r="F11" s="1"/>
      <c r="G11" s="1"/>
      <c r="H11" s="1"/>
      <c r="I11" s="1"/>
      <c r="J11" s="1"/>
      <c r="K11" s="1"/>
      <c r="L11" s="1"/>
      <c r="M11" s="1"/>
      <c r="N11" s="1"/>
      <c r="O11" s="5"/>
      <c r="P11" s="5"/>
      <c r="Q11" s="5"/>
      <c r="R11" s="5"/>
      <c r="S11" s="1"/>
      <c r="U11" s="10" t="s">
        <v>32</v>
      </c>
      <c r="V11" s="11">
        <f>FLOOR((SoulStrikerData1!C9 - 10)/2,1)</f>
        <v>0</v>
      </c>
      <c r="W11" s="9"/>
      <c r="X11" s="9"/>
      <c r="AA11" s="24" t="s">
        <v>153</v>
      </c>
    </row>
    <row r="12" spans="1:32" x14ac:dyDescent="0.25">
      <c r="A12" s="1"/>
      <c r="B12" s="6" t="s">
        <v>3</v>
      </c>
      <c r="C12" s="6"/>
      <c r="D12" s="7">
        <f>SoulStrikerData1!B13+ V18*SoulStrikerData1!B37+V11</f>
        <v>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4"/>
      <c r="P12" s="4"/>
      <c r="Q12" s="4"/>
      <c r="R12" s="4"/>
      <c r="S12" s="1"/>
      <c r="U12" s="9"/>
      <c r="V12" s="11"/>
      <c r="W12" s="9"/>
      <c r="X12" s="9"/>
      <c r="AA12" s="24" t="s">
        <v>154</v>
      </c>
    </row>
    <row r="13" spans="1:32" x14ac:dyDescent="0.25">
      <c r="A13" s="1"/>
      <c r="B13" s="6" t="s">
        <v>4</v>
      </c>
      <c r="C13" s="4"/>
      <c r="D13" s="7">
        <f>SoulStrikerData1!B14+ V18*(SoulStrikerData1!B35+SoulStrikerData1!B39)+V9</f>
        <v>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4"/>
      <c r="P13" s="6" t="s">
        <v>41</v>
      </c>
      <c r="Q13" s="7"/>
      <c r="R13" s="4"/>
      <c r="S13" s="1"/>
      <c r="U13" s="10" t="s">
        <v>34</v>
      </c>
      <c r="V13" s="11">
        <v>2</v>
      </c>
      <c r="W13" s="9"/>
      <c r="X13" s="9"/>
      <c r="AA13" s="24"/>
    </row>
    <row r="14" spans="1:32" x14ac:dyDescent="0.25">
      <c r="A14" s="1"/>
      <c r="B14" s="6" t="s">
        <v>5</v>
      </c>
      <c r="C14" s="4"/>
      <c r="D14" s="7">
        <f>SoulStrikerData1!B15+ V18*(SoulStrikerData1!B34+SoulStrikerData1!B40)+V11</f>
        <v>1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4"/>
      <c r="P14" s="4"/>
      <c r="Q14" s="7"/>
      <c r="R14" s="4"/>
      <c r="S14" s="1"/>
      <c r="U14" s="9"/>
      <c r="V14" s="9"/>
      <c r="W14" s="9"/>
      <c r="X14" s="9"/>
      <c r="AA14" s="24"/>
    </row>
    <row r="15" spans="1:32" x14ac:dyDescent="0.25">
      <c r="A15" s="1"/>
      <c r="B15" s="6" t="s">
        <v>6</v>
      </c>
      <c r="C15" s="4"/>
      <c r="D15" s="7">
        <f>SoulStrikerData1!B16+ V18*SoulStrikerData1!B38+V8</f>
        <v>0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4"/>
      <c r="P15" s="4"/>
      <c r="Q15" s="7"/>
      <c r="R15" s="4"/>
      <c r="S15" s="1"/>
      <c r="U15" s="10" t="s">
        <v>38</v>
      </c>
      <c r="V15" s="12" t="str">
        <f>SoulStrikerData1!B79</f>
        <v>35</v>
      </c>
      <c r="W15" s="9"/>
      <c r="X15" s="9"/>
      <c r="AA15" s="24"/>
    </row>
    <row r="16" spans="1:32" x14ac:dyDescent="0.25">
      <c r="A16" s="1"/>
      <c r="B16" s="6" t="s">
        <v>7</v>
      </c>
      <c r="C16" s="4"/>
      <c r="D16" s="7">
        <f>SoulStrikerData1!B17+ V18*SoulStrikerData1!B34+V10</f>
        <v>0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4"/>
      <c r="P16" s="4"/>
      <c r="Q16" s="7"/>
      <c r="R16" s="4"/>
      <c r="S16" s="1"/>
      <c r="U16" s="10" t="s">
        <v>39</v>
      </c>
      <c r="V16" s="28" t="str">
        <f>SoulStrikerData1!B80</f>
        <v>8</v>
      </c>
      <c r="W16" s="9">
        <v>0</v>
      </c>
      <c r="X16" s="9"/>
      <c r="AA16" s="24"/>
    </row>
    <row r="17" spans="1:27" x14ac:dyDescent="0.25">
      <c r="A17" s="1"/>
      <c r="B17" s="6" t="s">
        <v>8</v>
      </c>
      <c r="C17" s="4"/>
      <c r="D17" s="7">
        <f>SoulStrikerData1!B18+ V18*(SoulStrikerData1!B34+'Character Stat Sheet'!B36+SoulStrikerData1!B37+SoulStrikerData1!B39)+V11</f>
        <v>0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4"/>
      <c r="P17" s="4"/>
      <c r="Q17" s="7"/>
      <c r="R17" s="4"/>
      <c r="S17" s="1"/>
      <c r="U17" s="9"/>
      <c r="V17" s="9"/>
      <c r="W17" s="9"/>
      <c r="X17" s="9"/>
      <c r="AA17" s="24"/>
    </row>
    <row r="18" spans="1:27" x14ac:dyDescent="0.25">
      <c r="A18" s="1"/>
      <c r="B18" s="6" t="s">
        <v>9</v>
      </c>
      <c r="C18" s="4"/>
      <c r="D18" s="7">
        <f>SoulStrikerData1!B19+ V18*(SoulStrikerData1!B40+SoulStrikerData1!B41)+V8</f>
        <v>1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4"/>
      <c r="P18" s="4"/>
      <c r="Q18" s="7"/>
      <c r="R18" s="4"/>
      <c r="S18" s="1"/>
      <c r="U18" s="10" t="s">
        <v>59</v>
      </c>
      <c r="V18" s="9">
        <f>1+FLOOR(V3/3,1)</f>
        <v>1</v>
      </c>
      <c r="W18" s="9"/>
      <c r="X18" s="9"/>
      <c r="AA18" s="24"/>
    </row>
    <row r="19" spans="1:27" x14ac:dyDescent="0.25">
      <c r="A19" s="1"/>
      <c r="B19" s="6" t="s">
        <v>10</v>
      </c>
      <c r="C19" s="4"/>
      <c r="D19" s="7">
        <f>SoulStrikerData1!B20+ V18*SoulStrikerData1!B38+V6</f>
        <v>1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4"/>
      <c r="P19" s="4"/>
      <c r="Q19" s="7"/>
      <c r="R19" s="4"/>
      <c r="S19" s="1"/>
      <c r="U19" s="9"/>
      <c r="V19" s="9"/>
      <c r="W19" s="9"/>
      <c r="X19" s="9"/>
      <c r="AA19" s="24"/>
    </row>
    <row r="20" spans="1:27" x14ac:dyDescent="0.25">
      <c r="A20" s="1"/>
      <c r="B20" s="6" t="s">
        <v>11</v>
      </c>
      <c r="C20" s="4"/>
      <c r="D20" s="7">
        <f>SoulStrikerData1!B21+ V18*SoulStrikerData1!B38+V6</f>
        <v>1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4"/>
      <c r="P20" s="4"/>
      <c r="Q20" s="7"/>
      <c r="R20" s="4"/>
      <c r="S20" s="1"/>
      <c r="U20" s="9"/>
      <c r="V20" s="9"/>
      <c r="W20" s="9"/>
      <c r="X20" s="9"/>
      <c r="AA20" s="24"/>
    </row>
    <row r="21" spans="1:27" x14ac:dyDescent="0.25">
      <c r="A21" s="1"/>
      <c r="B21" s="6" t="s">
        <v>12</v>
      </c>
      <c r="C21" s="4"/>
      <c r="D21" s="7">
        <f>SoulStrikerData1!B22+V18*SoulStrikerData1!B41+V10</f>
        <v>0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4"/>
      <c r="P21" s="4"/>
      <c r="Q21" s="7"/>
      <c r="R21" s="4"/>
      <c r="S21" s="1"/>
      <c r="U21" s="9"/>
      <c r="V21" s="9"/>
      <c r="W21" s="9"/>
      <c r="X21" s="9"/>
      <c r="AA21" s="24"/>
    </row>
    <row r="22" spans="1:27" x14ac:dyDescent="0.25">
      <c r="A22" s="1"/>
      <c r="B22" s="6" t="s">
        <v>13</v>
      </c>
      <c r="C22" s="4"/>
      <c r="D22" s="7">
        <f>SoulStrikerData1!B23+ V18*SoulStrikerData1!B37+V11</f>
        <v>0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4"/>
      <c r="P22" s="4"/>
      <c r="Q22" s="7"/>
      <c r="R22" s="4"/>
      <c r="S22" s="1"/>
      <c r="U22" s="9"/>
      <c r="V22" s="9"/>
      <c r="W22" s="9"/>
      <c r="X22" s="9"/>
      <c r="AA22" s="24"/>
    </row>
    <row r="23" spans="1:27" x14ac:dyDescent="0.25">
      <c r="A23" s="1"/>
      <c r="B23" s="6" t="s">
        <v>268</v>
      </c>
      <c r="C23" s="4"/>
      <c r="D23" s="7">
        <f>SoulStrikerData1!B24+ V18*SoulStrikerData1!B36+V11</f>
        <v>0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4"/>
      <c r="P23" s="4"/>
      <c r="Q23" s="7"/>
      <c r="R23" s="4"/>
      <c r="S23" s="1"/>
      <c r="U23" s="9"/>
      <c r="V23" s="9"/>
      <c r="W23" s="9"/>
      <c r="X23" s="9"/>
      <c r="AA23" s="24"/>
    </row>
    <row r="24" spans="1:27" x14ac:dyDescent="0.25">
      <c r="A24" s="1"/>
      <c r="B24" s="6" t="s">
        <v>14</v>
      </c>
      <c r="C24" s="4"/>
      <c r="D24" s="7">
        <f>SoulStrikerData1!B25+V5</f>
        <v>21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4"/>
      <c r="P24" s="4"/>
      <c r="Q24" s="7"/>
      <c r="R24" s="4"/>
      <c r="S24" s="1"/>
      <c r="U24" s="9"/>
      <c r="V24" s="9"/>
      <c r="W24" s="9"/>
      <c r="X24" s="9"/>
      <c r="AA24" s="24"/>
    </row>
    <row r="25" spans="1:27" x14ac:dyDescent="0.25">
      <c r="A25" s="1"/>
      <c r="B25" s="6" t="s">
        <v>15</v>
      </c>
      <c r="C25" s="4"/>
      <c r="D25" s="7">
        <f>SoulStrikerData1!B26+ V18*SoulStrikerData1!B41+V9</f>
        <v>0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4"/>
      <c r="P25" s="4"/>
      <c r="Q25" s="7"/>
      <c r="R25" s="4"/>
      <c r="S25" s="1"/>
      <c r="U25" s="9"/>
      <c r="V25" s="9"/>
      <c r="W25" s="9"/>
      <c r="X25" s="9"/>
      <c r="AA25" s="24"/>
    </row>
    <row r="26" spans="1:27" x14ac:dyDescent="0.25">
      <c r="A26" s="1"/>
      <c r="B26" s="6" t="s">
        <v>16</v>
      </c>
      <c r="C26" s="4"/>
      <c r="D26" s="7">
        <f>SoulStrikerData1!B27+ V18*(SoulStrikerData1!B34+SoulStrikerData1!B41)+V9</f>
        <v>0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4"/>
      <c r="P26" s="4"/>
      <c r="Q26" s="7"/>
      <c r="R26" s="4"/>
      <c r="S26" s="1"/>
      <c r="U26" s="9"/>
      <c r="V26" s="9"/>
      <c r="W26" s="9"/>
      <c r="X26" s="9"/>
      <c r="AA26" s="24"/>
    </row>
    <row r="27" spans="1:27" x14ac:dyDescent="0.25">
      <c r="A27" s="1"/>
      <c r="B27" s="6" t="s">
        <v>17</v>
      </c>
      <c r="C27" s="4"/>
      <c r="D27" s="7">
        <f>SoulStrikerData1!B28+V11</f>
        <v>0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4"/>
      <c r="P27" s="4"/>
      <c r="Q27" s="7"/>
      <c r="R27" s="4"/>
      <c r="S27" s="1"/>
      <c r="U27" s="9"/>
      <c r="V27" s="9"/>
      <c r="W27" s="9"/>
      <c r="X27" s="9"/>
      <c r="AA27" s="24"/>
    </row>
    <row r="28" spans="1:27" x14ac:dyDescent="0.25">
      <c r="A28" s="1"/>
      <c r="B28" s="6" t="s">
        <v>18</v>
      </c>
      <c r="C28" s="4"/>
      <c r="D28" s="7">
        <f>SoulStrikerData1!B29+V8</f>
        <v>0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4"/>
      <c r="P28" s="4"/>
      <c r="Q28" s="7"/>
      <c r="R28" s="4"/>
      <c r="S28" s="1"/>
      <c r="U28" s="9"/>
      <c r="V28" s="9"/>
      <c r="W28" s="9"/>
      <c r="X28" s="9"/>
      <c r="AA28" s="24"/>
    </row>
    <row r="29" spans="1:27" x14ac:dyDescent="0.25">
      <c r="A29" s="1"/>
      <c r="B29" s="6" t="s">
        <v>19</v>
      </c>
      <c r="C29" s="4"/>
      <c r="D29" s="7">
        <f>SoulStrikerData1!B30+ V18*(SoulStrikerData1!B34+SoulStrikerData1!B40)+V10</f>
        <v>1</v>
      </c>
      <c r="E29" s="1"/>
      <c r="F29" s="2" t="s">
        <v>42</v>
      </c>
      <c r="G29" s="1"/>
      <c r="H29" s="1"/>
      <c r="I29" s="1"/>
      <c r="J29" s="1"/>
      <c r="K29" s="1"/>
      <c r="L29" s="1"/>
      <c r="M29" s="1"/>
      <c r="N29" s="1"/>
      <c r="O29" s="4"/>
      <c r="P29" s="4"/>
      <c r="Q29" s="7"/>
      <c r="R29" s="4"/>
      <c r="S29" s="1"/>
      <c r="U29" s="9"/>
      <c r="V29" s="9"/>
      <c r="W29" s="9"/>
      <c r="X29" s="9"/>
      <c r="AA29" s="24"/>
    </row>
    <row r="30" spans="1:27" x14ac:dyDescent="0.25">
      <c r="A30" s="1"/>
      <c r="B30" s="6" t="s">
        <v>20</v>
      </c>
      <c r="C30" s="4"/>
      <c r="D30" s="7">
        <f>SoulStrikerData1!B31+ V18*(SoulStrikerData1!B36+SoulStrikerData1!B39)+V11</f>
        <v>0</v>
      </c>
      <c r="E30" s="3" t="s">
        <v>43</v>
      </c>
      <c r="F30" s="13">
        <v>0</v>
      </c>
      <c r="G30" s="13">
        <v>0</v>
      </c>
      <c r="H30" s="13">
        <v>0</v>
      </c>
      <c r="I30" s="1"/>
      <c r="J30" s="1"/>
      <c r="K30" s="1"/>
      <c r="L30" s="1"/>
      <c r="M30" s="1"/>
      <c r="N30" s="1"/>
      <c r="O30" s="4"/>
      <c r="P30" s="4"/>
      <c r="Q30" s="7"/>
      <c r="R30" s="4"/>
      <c r="S30" s="1"/>
      <c r="U30" s="9"/>
      <c r="V30" s="9"/>
      <c r="W30" s="9"/>
      <c r="X30" s="9"/>
      <c r="AA30" s="24"/>
    </row>
    <row r="31" spans="1:27" x14ac:dyDescent="0.25">
      <c r="A31" s="1"/>
      <c r="B31" s="6" t="s">
        <v>21</v>
      </c>
      <c r="C31" s="4"/>
      <c r="D31" s="7">
        <f>SoulStrikerData1!B32+V5</f>
        <v>1</v>
      </c>
      <c r="E31" s="3" t="s">
        <v>44</v>
      </c>
      <c r="F31" s="13">
        <v>0</v>
      </c>
      <c r="G31" s="13">
        <v>0</v>
      </c>
      <c r="H31" s="13">
        <v>0</v>
      </c>
      <c r="I31" s="1"/>
      <c r="J31" s="1"/>
      <c r="K31" s="1"/>
      <c r="L31" s="1"/>
      <c r="M31" s="1"/>
      <c r="N31" s="1"/>
      <c r="O31" s="4"/>
      <c r="P31" s="4"/>
      <c r="Q31" s="7"/>
      <c r="R31" s="4"/>
      <c r="S31" s="1"/>
      <c r="U31" s="26"/>
      <c r="V31" s="26"/>
      <c r="W31" s="26"/>
      <c r="X31" s="26"/>
      <c r="AA31" s="24"/>
    </row>
    <row r="32" spans="1:27" x14ac:dyDescent="0.25">
      <c r="A32" s="1"/>
      <c r="B32" s="4" t="s">
        <v>142</v>
      </c>
      <c r="C32" s="4"/>
      <c r="D32" s="7">
        <f>SoulStrikerData1!B33+V8</f>
        <v>0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4"/>
      <c r="P32" s="4"/>
      <c r="Q32" s="4"/>
      <c r="R32" s="4"/>
      <c r="S32" s="1"/>
      <c r="U32" s="26"/>
      <c r="V32" s="26"/>
      <c r="W32" s="26"/>
      <c r="X32" s="26"/>
      <c r="AA32" s="24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U33" s="26"/>
      <c r="V33" s="26"/>
      <c r="W33" s="26"/>
      <c r="X33" s="26"/>
      <c r="AA33" s="24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U34" s="26"/>
      <c r="V34" s="26"/>
      <c r="W34" s="26"/>
      <c r="X34" s="26"/>
      <c r="AA34" s="24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U35" s="26"/>
      <c r="V35" s="26"/>
      <c r="W35" s="26"/>
      <c r="X35" s="26"/>
      <c r="AA35" s="24"/>
    </row>
    <row r="36" spans="1:27" x14ac:dyDescent="0.25">
      <c r="A36" s="1"/>
      <c r="B36" s="1"/>
      <c r="C36" s="1"/>
      <c r="D36" s="14" t="s">
        <v>46</v>
      </c>
      <c r="E36" s="14" t="s">
        <v>47</v>
      </c>
      <c r="F36" s="14" t="s">
        <v>48</v>
      </c>
      <c r="G36" s="14" t="s">
        <v>49</v>
      </c>
      <c r="H36" s="14" t="s">
        <v>50</v>
      </c>
      <c r="I36" s="14" t="s">
        <v>51</v>
      </c>
      <c r="J36" s="14" t="s">
        <v>52</v>
      </c>
      <c r="K36" s="14" t="s">
        <v>53</v>
      </c>
      <c r="L36" s="14" t="s">
        <v>54</v>
      </c>
      <c r="M36" s="14" t="s">
        <v>55</v>
      </c>
      <c r="N36" s="14" t="s">
        <v>56</v>
      </c>
      <c r="O36" s="14" t="s">
        <v>57</v>
      </c>
      <c r="P36" s="14" t="s">
        <v>58</v>
      </c>
      <c r="Q36" s="1"/>
      <c r="R36" s="1"/>
      <c r="S36" s="1"/>
      <c r="U36" s="26"/>
      <c r="V36" s="26"/>
      <c r="W36" s="26"/>
      <c r="X36" s="26"/>
      <c r="AA36" s="25"/>
    </row>
    <row r="37" spans="1:27" x14ac:dyDescent="0.25">
      <c r="A37" s="1"/>
      <c r="B37" s="2" t="s">
        <v>45</v>
      </c>
      <c r="C37" s="1"/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1"/>
      <c r="R37" s="1"/>
      <c r="S37" s="1"/>
      <c r="U37" s="26"/>
      <c r="V37" s="26"/>
      <c r="W37" s="26"/>
      <c r="X37" s="26"/>
      <c r="AA37" s="25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U38" s="26"/>
      <c r="V38" s="26"/>
      <c r="W38" s="26"/>
      <c r="X38" s="26"/>
      <c r="AA38" s="25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U39" s="26"/>
      <c r="V39" s="26"/>
      <c r="W39" s="26"/>
      <c r="X39" s="26"/>
      <c r="AA39" s="25"/>
    </row>
    <row r="40" spans="1:27" s="26" customFormat="1" x14ac:dyDescent="0.25"/>
    <row r="41" spans="1:27" s="26" customFormat="1" x14ac:dyDescent="0.25"/>
    <row r="42" spans="1:27" s="26" customFormat="1" x14ac:dyDescent="0.25"/>
    <row r="43" spans="1:27" s="26" customFormat="1" x14ac:dyDescent="0.25"/>
    <row r="44" spans="1:27" s="26" customFormat="1" x14ac:dyDescent="0.25"/>
    <row r="45" spans="1:27" s="26" customFormat="1" x14ac:dyDescent="0.25"/>
    <row r="46" spans="1:27" s="26" customFormat="1" x14ac:dyDescent="0.25"/>
    <row r="47" spans="1:27" s="26" customFormat="1" x14ac:dyDescent="0.25"/>
    <row r="48" spans="1:27" s="26" customFormat="1" x14ac:dyDescent="0.25"/>
    <row r="49" spans="1:27" s="26" customFormat="1" x14ac:dyDescent="0.25"/>
    <row r="50" spans="1:27" x14ac:dyDescent="0.25">
      <c r="A50" s="10" t="s">
        <v>36</v>
      </c>
      <c r="B50" s="9">
        <f>V6+(X6)</f>
        <v>3</v>
      </c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U50" s="26"/>
      <c r="V50" s="26"/>
      <c r="W50" s="26"/>
      <c r="X50" s="26"/>
      <c r="AA50" s="26"/>
    </row>
    <row r="51" spans="1:27" x14ac:dyDescent="0.25">
      <c r="A51" t="s">
        <v>25</v>
      </c>
      <c r="B51">
        <f>SUM(10)+(V7)</f>
        <v>11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U51" s="26"/>
      <c r="V51" s="26"/>
      <c r="W51" s="26"/>
      <c r="X51" s="26"/>
      <c r="AA51" s="26"/>
    </row>
    <row r="52" spans="1:27" x14ac:dyDescent="0.25">
      <c r="A52" t="s">
        <v>37</v>
      </c>
      <c r="B52">
        <f>SUM(V5)*(10)</f>
        <v>10</v>
      </c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U52" s="26"/>
      <c r="V52" s="26"/>
      <c r="W52" s="26"/>
      <c r="X52" s="26"/>
      <c r="AA52" s="26"/>
    </row>
    <row r="53" spans="1:27" x14ac:dyDescent="0.25">
      <c r="A53" t="s">
        <v>40</v>
      </c>
      <c r="B53">
        <f>V16+V4</f>
        <v>10</v>
      </c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U53" s="26"/>
      <c r="V53" s="26"/>
      <c r="W53" s="26"/>
      <c r="X53" s="26"/>
      <c r="AA53" s="26"/>
    </row>
    <row r="54" spans="1:27" x14ac:dyDescent="0.25">
      <c r="A54" t="s">
        <v>143</v>
      </c>
      <c r="B54">
        <f>8+V5+V18</f>
        <v>10</v>
      </c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U54" s="26"/>
      <c r="V54" s="26"/>
      <c r="W54" s="26"/>
      <c r="X54" s="26"/>
      <c r="AA54" s="26"/>
    </row>
    <row r="55" spans="1:27" s="26" customFormat="1" x14ac:dyDescent="0.25"/>
    <row r="56" spans="1:27" s="26" customFormat="1" x14ac:dyDescent="0.25"/>
    <row r="57" spans="1:27" s="26" customFormat="1" x14ac:dyDescent="0.25"/>
    <row r="58" spans="1:27" s="26" customFormat="1" x14ac:dyDescent="0.25"/>
    <row r="59" spans="1:27" s="26" customFormat="1" x14ac:dyDescent="0.25"/>
    <row r="60" spans="1:27" s="26" customFormat="1" x14ac:dyDescent="0.25"/>
    <row r="61" spans="1:27" s="26" customFormat="1" x14ac:dyDescent="0.25"/>
    <row r="62" spans="1:27" s="26" customFormat="1" x14ac:dyDescent="0.25"/>
    <row r="63" spans="1:27" s="26" customFormat="1" x14ac:dyDescent="0.25"/>
    <row r="64" spans="1:27" s="26" customFormat="1" x14ac:dyDescent="0.25"/>
    <row r="65" s="26" customFormat="1" x14ac:dyDescent="0.25"/>
    <row r="66" s="26" customFormat="1" x14ac:dyDescent="0.25"/>
    <row r="67" s="26" customFormat="1" x14ac:dyDescent="0.25"/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08951-B632-44AB-B60E-B6C0C69CC285}">
  <dimension ref="A1:C82"/>
  <sheetViews>
    <sheetView workbookViewId="0">
      <selection activeCell="C10" sqref="C10"/>
    </sheetView>
  </sheetViews>
  <sheetFormatPr defaultRowHeight="15" x14ac:dyDescent="0.25"/>
  <cols>
    <col min="1" max="1" width="15.28515625" bestFit="1" customWidth="1"/>
    <col min="2" max="2" width="11.140625" bestFit="1" customWidth="1"/>
  </cols>
  <sheetData>
    <row r="1" spans="1:3" x14ac:dyDescent="0.25">
      <c r="A1" t="s">
        <v>290</v>
      </c>
      <c r="B1" t="s">
        <v>291</v>
      </c>
      <c r="C1" s="29" t="s">
        <v>267</v>
      </c>
    </row>
    <row r="2" spans="1:3" x14ac:dyDescent="0.25">
      <c r="A2" t="s">
        <v>209</v>
      </c>
      <c r="B2" t="s">
        <v>292</v>
      </c>
      <c r="C2" s="29">
        <f>B2+B35+2*B37+2*B39</f>
        <v>15</v>
      </c>
    </row>
    <row r="3" spans="1:3" x14ac:dyDescent="0.25">
      <c r="A3" t="s">
        <v>219</v>
      </c>
      <c r="B3" t="s">
        <v>294</v>
      </c>
      <c r="C3" s="29">
        <f>B3+B34+B36+2*B38</f>
        <v>12</v>
      </c>
    </row>
    <row r="4" spans="1:3" x14ac:dyDescent="0.25">
      <c r="A4" t="s">
        <v>210</v>
      </c>
      <c r="B4" t="s">
        <v>293</v>
      </c>
      <c r="C4" s="29">
        <f>B4+2*B35+B37+2*B40</f>
        <v>13</v>
      </c>
    </row>
    <row r="5" spans="1:3" x14ac:dyDescent="0.25">
      <c r="A5" t="s">
        <v>211</v>
      </c>
      <c r="B5" t="s">
        <v>300</v>
      </c>
      <c r="C5" s="29">
        <f>B5+B39</f>
        <v>13</v>
      </c>
    </row>
    <row r="6" spans="1:3" x14ac:dyDescent="0.25">
      <c r="A6" t="s">
        <v>212</v>
      </c>
      <c r="B6" t="s">
        <v>293</v>
      </c>
      <c r="C6" s="29">
        <f>B6+2*B57+B36+B38+2*B41</f>
        <v>11</v>
      </c>
    </row>
    <row r="7" spans="1:3" x14ac:dyDescent="0.25">
      <c r="A7" t="s">
        <v>213</v>
      </c>
      <c r="B7" t="s">
        <v>293</v>
      </c>
      <c r="C7" s="29">
        <f>B7+2*B34</f>
        <v>11</v>
      </c>
    </row>
    <row r="8" spans="1:3" x14ac:dyDescent="0.25">
      <c r="A8" t="s">
        <v>214</v>
      </c>
      <c r="B8" t="s">
        <v>301</v>
      </c>
      <c r="C8" s="29">
        <f>B8+B41</f>
        <v>10</v>
      </c>
    </row>
    <row r="9" spans="1:3" x14ac:dyDescent="0.25">
      <c r="A9" t="s">
        <v>215</v>
      </c>
      <c r="B9" t="s">
        <v>301</v>
      </c>
      <c r="C9" s="29">
        <f>B9+B40</f>
        <v>11</v>
      </c>
    </row>
    <row r="10" spans="1:3" x14ac:dyDescent="0.25">
      <c r="A10" t="s">
        <v>216</v>
      </c>
      <c r="B10" t="s">
        <v>297</v>
      </c>
      <c r="C10" s="35" t="str">
        <f>SoulStrikerData1__10[[#This Row],[Column2]]</f>
        <v>1</v>
      </c>
    </row>
    <row r="11" spans="1:3" x14ac:dyDescent="0.25">
      <c r="A11" t="s">
        <v>217</v>
      </c>
      <c r="B11" t="s">
        <v>302</v>
      </c>
      <c r="C11" s="35" t="str">
        <f>SoulStrikerData1__10[[#This Row],[Column2]]</f>
        <v>4</v>
      </c>
    </row>
    <row r="12" spans="1:3" x14ac:dyDescent="0.25">
      <c r="A12" t="s">
        <v>218</v>
      </c>
      <c r="B12" t="s">
        <v>295</v>
      </c>
      <c r="C12" s="35" t="str">
        <f>SoulStrikerData1__10[[#This Row],[Column2]]</f>
        <v>0</v>
      </c>
    </row>
    <row r="13" spans="1:3" x14ac:dyDescent="0.25">
      <c r="A13" t="s">
        <v>220</v>
      </c>
      <c r="B13" t="s">
        <v>295</v>
      </c>
    </row>
    <row r="14" spans="1:3" x14ac:dyDescent="0.25">
      <c r="A14" t="s">
        <v>221</v>
      </c>
      <c r="B14" t="s">
        <v>295</v>
      </c>
    </row>
    <row r="15" spans="1:3" x14ac:dyDescent="0.25">
      <c r="A15" t="s">
        <v>222</v>
      </c>
      <c r="B15" t="s">
        <v>295</v>
      </c>
    </row>
    <row r="16" spans="1:3" x14ac:dyDescent="0.25">
      <c r="A16" t="s">
        <v>223</v>
      </c>
      <c r="B16" t="s">
        <v>295</v>
      </c>
    </row>
    <row r="17" spans="1:2" x14ac:dyDescent="0.25">
      <c r="A17" t="s">
        <v>224</v>
      </c>
      <c r="B17" t="s">
        <v>295</v>
      </c>
    </row>
    <row r="18" spans="1:2" x14ac:dyDescent="0.25">
      <c r="A18" t="s">
        <v>225</v>
      </c>
      <c r="B18" t="s">
        <v>295</v>
      </c>
    </row>
    <row r="19" spans="1:2" x14ac:dyDescent="0.25">
      <c r="A19" t="s">
        <v>226</v>
      </c>
      <c r="B19" t="s">
        <v>295</v>
      </c>
    </row>
    <row r="20" spans="1:2" x14ac:dyDescent="0.25">
      <c r="A20" t="s">
        <v>227</v>
      </c>
      <c r="B20" t="s">
        <v>295</v>
      </c>
    </row>
    <row r="21" spans="1:2" x14ac:dyDescent="0.25">
      <c r="A21" t="s">
        <v>228</v>
      </c>
      <c r="B21" t="s">
        <v>295</v>
      </c>
    </row>
    <row r="22" spans="1:2" x14ac:dyDescent="0.25">
      <c r="A22" t="s">
        <v>229</v>
      </c>
      <c r="B22" t="s">
        <v>295</v>
      </c>
    </row>
    <row r="23" spans="1:2" x14ac:dyDescent="0.25">
      <c r="A23" t="s">
        <v>230</v>
      </c>
      <c r="B23" t="s">
        <v>295</v>
      </c>
    </row>
    <row r="24" spans="1:2" x14ac:dyDescent="0.25">
      <c r="A24" t="s">
        <v>231</v>
      </c>
      <c r="B24" t="s">
        <v>295</v>
      </c>
    </row>
    <row r="25" spans="1:2" x14ac:dyDescent="0.25">
      <c r="A25" t="s">
        <v>232</v>
      </c>
      <c r="B25" t="s">
        <v>296</v>
      </c>
    </row>
    <row r="26" spans="1:2" x14ac:dyDescent="0.25">
      <c r="A26" t="s">
        <v>233</v>
      </c>
      <c r="B26" t="s">
        <v>295</v>
      </c>
    </row>
    <row r="27" spans="1:2" x14ac:dyDescent="0.25">
      <c r="A27" t="s">
        <v>234</v>
      </c>
      <c r="B27" t="s">
        <v>295</v>
      </c>
    </row>
    <row r="28" spans="1:2" x14ac:dyDescent="0.25">
      <c r="A28" t="s">
        <v>235</v>
      </c>
      <c r="B28" t="s">
        <v>295</v>
      </c>
    </row>
    <row r="29" spans="1:2" x14ac:dyDescent="0.25">
      <c r="A29" t="s">
        <v>236</v>
      </c>
      <c r="B29" t="s">
        <v>295</v>
      </c>
    </row>
    <row r="30" spans="1:2" x14ac:dyDescent="0.25">
      <c r="A30" t="s">
        <v>237</v>
      </c>
      <c r="B30" t="s">
        <v>295</v>
      </c>
    </row>
    <row r="31" spans="1:2" x14ac:dyDescent="0.25">
      <c r="A31" t="s">
        <v>238</v>
      </c>
      <c r="B31" t="s">
        <v>295</v>
      </c>
    </row>
    <row r="32" spans="1:2" x14ac:dyDescent="0.25">
      <c r="A32" t="s">
        <v>239</v>
      </c>
      <c r="B32" t="s">
        <v>295</v>
      </c>
    </row>
    <row r="33" spans="1:2" x14ac:dyDescent="0.25">
      <c r="A33" t="s">
        <v>240</v>
      </c>
      <c r="B33" t="s">
        <v>295</v>
      </c>
    </row>
    <row r="34" spans="1:2" x14ac:dyDescent="0.25">
      <c r="A34" t="s">
        <v>241</v>
      </c>
      <c r="B34" t="s">
        <v>295</v>
      </c>
    </row>
    <row r="35" spans="1:2" x14ac:dyDescent="0.25">
      <c r="A35" t="s">
        <v>242</v>
      </c>
      <c r="B35" t="s">
        <v>295</v>
      </c>
    </row>
    <row r="36" spans="1:2" x14ac:dyDescent="0.25">
      <c r="A36" t="s">
        <v>243</v>
      </c>
      <c r="B36" t="s">
        <v>295</v>
      </c>
    </row>
    <row r="37" spans="1:2" x14ac:dyDescent="0.25">
      <c r="A37" t="s">
        <v>244</v>
      </c>
      <c r="B37" t="s">
        <v>295</v>
      </c>
    </row>
    <row r="38" spans="1:2" x14ac:dyDescent="0.25">
      <c r="A38" t="s">
        <v>245</v>
      </c>
      <c r="B38" t="s">
        <v>295</v>
      </c>
    </row>
    <row r="39" spans="1:2" x14ac:dyDescent="0.25">
      <c r="A39" t="s">
        <v>246</v>
      </c>
      <c r="B39" t="s">
        <v>295</v>
      </c>
    </row>
    <row r="40" spans="1:2" x14ac:dyDescent="0.25">
      <c r="A40" t="s">
        <v>247</v>
      </c>
      <c r="B40" t="s">
        <v>297</v>
      </c>
    </row>
    <row r="41" spans="1:2" x14ac:dyDescent="0.25">
      <c r="A41" t="s">
        <v>248</v>
      </c>
      <c r="B41" t="s">
        <v>295</v>
      </c>
    </row>
    <row r="42" spans="1:2" x14ac:dyDescent="0.25">
      <c r="A42" t="s">
        <v>249</v>
      </c>
      <c r="B42" t="s">
        <v>295</v>
      </c>
    </row>
    <row r="43" spans="1:2" x14ac:dyDescent="0.25">
      <c r="A43" t="s">
        <v>250</v>
      </c>
      <c r="B43" t="s">
        <v>295</v>
      </c>
    </row>
    <row r="44" spans="1:2" x14ac:dyDescent="0.25">
      <c r="A44" t="s">
        <v>251</v>
      </c>
      <c r="B44" t="s">
        <v>295</v>
      </c>
    </row>
    <row r="45" spans="1:2" x14ac:dyDescent="0.25">
      <c r="A45" t="s">
        <v>252</v>
      </c>
      <c r="B45" t="s">
        <v>295</v>
      </c>
    </row>
    <row r="46" spans="1:2" x14ac:dyDescent="0.25">
      <c r="A46" t="s">
        <v>253</v>
      </c>
      <c r="B46" t="s">
        <v>295</v>
      </c>
    </row>
    <row r="47" spans="1:2" x14ac:dyDescent="0.25">
      <c r="A47" t="s">
        <v>254</v>
      </c>
      <c r="B47" t="s">
        <v>295</v>
      </c>
    </row>
    <row r="48" spans="1:2" x14ac:dyDescent="0.25">
      <c r="A48" t="s">
        <v>255</v>
      </c>
      <c r="B48" t="s">
        <v>295</v>
      </c>
    </row>
    <row r="49" spans="1:2" x14ac:dyDescent="0.25">
      <c r="A49" t="s">
        <v>256</v>
      </c>
      <c r="B49" t="s">
        <v>297</v>
      </c>
    </row>
    <row r="50" spans="1:2" x14ac:dyDescent="0.25">
      <c r="A50" t="s">
        <v>257</v>
      </c>
      <c r="B50" t="s">
        <v>295</v>
      </c>
    </row>
    <row r="51" spans="1:2" x14ac:dyDescent="0.25">
      <c r="A51" t="s">
        <v>258</v>
      </c>
      <c r="B51" t="s">
        <v>295</v>
      </c>
    </row>
    <row r="52" spans="1:2" x14ac:dyDescent="0.25">
      <c r="A52" t="s">
        <v>259</v>
      </c>
      <c r="B52" t="s">
        <v>295</v>
      </c>
    </row>
    <row r="53" spans="1:2" x14ac:dyDescent="0.25">
      <c r="A53" t="s">
        <v>260</v>
      </c>
      <c r="B53" t="s">
        <v>295</v>
      </c>
    </row>
    <row r="54" spans="1:2" x14ac:dyDescent="0.25">
      <c r="A54" t="s">
        <v>261</v>
      </c>
      <c r="B54" t="s">
        <v>295</v>
      </c>
    </row>
    <row r="55" spans="1:2" x14ac:dyDescent="0.25">
      <c r="A55" t="s">
        <v>262</v>
      </c>
      <c r="B55" t="s">
        <v>295</v>
      </c>
    </row>
    <row r="56" spans="1:2" x14ac:dyDescent="0.25">
      <c r="A56" t="s">
        <v>263</v>
      </c>
      <c r="B56" t="s">
        <v>295</v>
      </c>
    </row>
    <row r="57" spans="1:2" x14ac:dyDescent="0.25">
      <c r="A57" t="s">
        <v>264</v>
      </c>
      <c r="B57" t="s">
        <v>295</v>
      </c>
    </row>
    <row r="58" spans="1:2" x14ac:dyDescent="0.25">
      <c r="A58" t="s">
        <v>265</v>
      </c>
      <c r="B58" t="s">
        <v>295</v>
      </c>
    </row>
    <row r="59" spans="1:2" x14ac:dyDescent="0.25">
      <c r="A59" t="s">
        <v>266</v>
      </c>
      <c r="B59" t="s">
        <v>295</v>
      </c>
    </row>
    <row r="60" spans="1:2" x14ac:dyDescent="0.25">
      <c r="A60" t="s">
        <v>269</v>
      </c>
      <c r="B60" t="s">
        <v>295</v>
      </c>
    </row>
    <row r="61" spans="1:2" x14ac:dyDescent="0.25">
      <c r="A61" t="s">
        <v>270</v>
      </c>
      <c r="B61" t="s">
        <v>295</v>
      </c>
    </row>
    <row r="62" spans="1:2" x14ac:dyDescent="0.25">
      <c r="A62" t="s">
        <v>271</v>
      </c>
      <c r="B62" t="s">
        <v>297</v>
      </c>
    </row>
    <row r="63" spans="1:2" x14ac:dyDescent="0.25">
      <c r="A63" t="s">
        <v>272</v>
      </c>
      <c r="B63" t="s">
        <v>295</v>
      </c>
    </row>
    <row r="64" spans="1:2" x14ac:dyDescent="0.25">
      <c r="A64" t="s">
        <v>273</v>
      </c>
      <c r="B64" t="s">
        <v>295</v>
      </c>
    </row>
    <row r="65" spans="1:2" x14ac:dyDescent="0.25">
      <c r="A65" t="s">
        <v>274</v>
      </c>
      <c r="B65" t="s">
        <v>295</v>
      </c>
    </row>
    <row r="66" spans="1:2" x14ac:dyDescent="0.25">
      <c r="A66" t="s">
        <v>275</v>
      </c>
      <c r="B66" t="s">
        <v>295</v>
      </c>
    </row>
    <row r="67" spans="1:2" x14ac:dyDescent="0.25">
      <c r="A67" t="s">
        <v>276</v>
      </c>
      <c r="B67" t="s">
        <v>295</v>
      </c>
    </row>
    <row r="68" spans="1:2" x14ac:dyDescent="0.25">
      <c r="A68" t="s">
        <v>277</v>
      </c>
      <c r="B68" t="s">
        <v>295</v>
      </c>
    </row>
    <row r="69" spans="1:2" x14ac:dyDescent="0.25">
      <c r="A69" t="s">
        <v>278</v>
      </c>
      <c r="B69" t="s">
        <v>295</v>
      </c>
    </row>
    <row r="70" spans="1:2" x14ac:dyDescent="0.25">
      <c r="A70" t="s">
        <v>279</v>
      </c>
      <c r="B70" t="s">
        <v>295</v>
      </c>
    </row>
    <row r="71" spans="1:2" x14ac:dyDescent="0.25">
      <c r="A71" t="s">
        <v>280</v>
      </c>
      <c r="B71" t="s">
        <v>295</v>
      </c>
    </row>
    <row r="72" spans="1:2" x14ac:dyDescent="0.25">
      <c r="A72" t="s">
        <v>281</v>
      </c>
      <c r="B72" t="s">
        <v>295</v>
      </c>
    </row>
    <row r="73" spans="1:2" x14ac:dyDescent="0.25">
      <c r="A73" t="s">
        <v>282</v>
      </c>
      <c r="B73" t="s">
        <v>295</v>
      </c>
    </row>
    <row r="74" spans="1:2" x14ac:dyDescent="0.25">
      <c r="A74" t="s">
        <v>283</v>
      </c>
      <c r="B74" t="s">
        <v>295</v>
      </c>
    </row>
    <row r="75" spans="1:2" x14ac:dyDescent="0.25">
      <c r="A75" t="s">
        <v>284</v>
      </c>
      <c r="B75" t="s">
        <v>295</v>
      </c>
    </row>
    <row r="76" spans="1:2" x14ac:dyDescent="0.25">
      <c r="A76" t="s">
        <v>285</v>
      </c>
      <c r="B76" t="s">
        <v>295</v>
      </c>
    </row>
    <row r="77" spans="1:2" x14ac:dyDescent="0.25">
      <c r="A77" t="s">
        <v>286</v>
      </c>
      <c r="B77" t="s">
        <v>271</v>
      </c>
    </row>
    <row r="78" spans="1:2" x14ac:dyDescent="0.25">
      <c r="A78" t="s">
        <v>287</v>
      </c>
      <c r="B78" t="s">
        <v>301</v>
      </c>
    </row>
    <row r="79" spans="1:2" x14ac:dyDescent="0.25">
      <c r="A79" t="s">
        <v>288</v>
      </c>
      <c r="B79" t="s">
        <v>303</v>
      </c>
    </row>
    <row r="80" spans="1:2" x14ac:dyDescent="0.25">
      <c r="A80" t="s">
        <v>289</v>
      </c>
      <c r="B80" t="s">
        <v>304</v>
      </c>
    </row>
    <row r="81" spans="1:2" x14ac:dyDescent="0.25">
      <c r="A81" t="s">
        <v>298</v>
      </c>
      <c r="B81" t="s">
        <v>247</v>
      </c>
    </row>
    <row r="82" spans="1:2" x14ac:dyDescent="0.25">
      <c r="A82" t="s">
        <v>299</v>
      </c>
      <c r="B82" t="s">
        <v>256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60"/>
  <sheetViews>
    <sheetView workbookViewId="0">
      <selection activeCell="U2" sqref="U2:W2"/>
    </sheetView>
  </sheetViews>
  <sheetFormatPr defaultRowHeight="15" x14ac:dyDescent="0.25"/>
  <cols>
    <col min="1" max="1" width="11.7109375" bestFit="1" customWidth="1"/>
    <col min="2" max="2" width="12" bestFit="1" customWidth="1"/>
    <col min="3" max="3" width="9" bestFit="1" customWidth="1"/>
    <col min="4" max="4" width="14.7109375" bestFit="1" customWidth="1"/>
    <col min="6" max="6" width="13.85546875" bestFit="1" customWidth="1"/>
    <col min="7" max="7" width="12.28515625" bestFit="1" customWidth="1"/>
    <col min="9" max="9" width="10.140625" bestFit="1" customWidth="1"/>
    <col min="10" max="10" width="17.42578125" bestFit="1" customWidth="1"/>
    <col min="13" max="13" width="29.85546875" customWidth="1"/>
    <col min="14" max="14" width="13.140625" bestFit="1" customWidth="1"/>
    <col min="16" max="16" width="14.5703125" bestFit="1" customWidth="1"/>
    <col min="21" max="21" width="14.85546875" bestFit="1" customWidth="1"/>
    <col min="22" max="22" width="44.140625" bestFit="1" customWidth="1"/>
  </cols>
  <sheetData>
    <row r="1" spans="1:23" x14ac:dyDescent="0.25">
      <c r="A1" s="30" t="s">
        <v>60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2"/>
    </row>
    <row r="2" spans="1:23" x14ac:dyDescent="0.25">
      <c r="A2" s="15" t="s">
        <v>61</v>
      </c>
      <c r="B2" s="15" t="s">
        <v>70</v>
      </c>
      <c r="C2" s="15" t="s">
        <v>62</v>
      </c>
      <c r="D2" s="15" t="s">
        <v>63</v>
      </c>
      <c r="E2" s="15" t="s">
        <v>64</v>
      </c>
      <c r="F2" s="15" t="s">
        <v>65</v>
      </c>
      <c r="G2" s="15" t="s">
        <v>66</v>
      </c>
      <c r="H2" s="15" t="s">
        <v>67</v>
      </c>
      <c r="I2" s="15" t="s">
        <v>68</v>
      </c>
      <c r="J2" s="15" t="s">
        <v>69</v>
      </c>
      <c r="K2" s="15" t="s">
        <v>140</v>
      </c>
      <c r="L2" s="15" t="s">
        <v>71</v>
      </c>
      <c r="M2" s="15" t="s">
        <v>72</v>
      </c>
      <c r="N2" s="15" t="s">
        <v>129</v>
      </c>
      <c r="O2" s="15"/>
      <c r="P2" s="15" t="s">
        <v>73</v>
      </c>
      <c r="Q2" s="15"/>
      <c r="R2" s="15" t="s">
        <v>74</v>
      </c>
      <c r="S2" s="15"/>
      <c r="U2" s="33" t="s">
        <v>139</v>
      </c>
      <c r="V2" s="34"/>
      <c r="W2" s="34"/>
    </row>
    <row r="3" spans="1:23" x14ac:dyDescent="0.25">
      <c r="A3" s="17"/>
      <c r="B3" s="18">
        <v>0</v>
      </c>
      <c r="C3" s="18" t="s">
        <v>81</v>
      </c>
      <c r="D3" s="18" t="s">
        <v>81</v>
      </c>
      <c r="E3" s="18" t="s">
        <v>110</v>
      </c>
      <c r="F3" s="18" t="s">
        <v>81</v>
      </c>
      <c r="G3" s="18" t="s">
        <v>81</v>
      </c>
      <c r="H3" s="18"/>
      <c r="I3" s="18">
        <v>1</v>
      </c>
      <c r="J3" s="18"/>
      <c r="K3" s="18"/>
      <c r="L3" s="18"/>
      <c r="M3" s="18"/>
      <c r="N3" s="18"/>
      <c r="O3" s="18"/>
      <c r="P3" s="18"/>
      <c r="Q3" s="18"/>
      <c r="R3" s="18"/>
      <c r="S3" s="18"/>
      <c r="U3" s="19"/>
      <c r="V3" s="19"/>
      <c r="W3" s="19"/>
    </row>
    <row r="4" spans="1:23" x14ac:dyDescent="0.25">
      <c r="A4" s="17"/>
      <c r="B4" s="18">
        <v>0</v>
      </c>
      <c r="C4" s="18" t="s">
        <v>81</v>
      </c>
      <c r="D4" s="18" t="s">
        <v>81</v>
      </c>
      <c r="E4" s="18" t="s">
        <v>110</v>
      </c>
      <c r="F4" s="18" t="s">
        <v>81</v>
      </c>
      <c r="G4" s="18" t="s">
        <v>81</v>
      </c>
      <c r="H4" s="18"/>
      <c r="I4" s="18">
        <v>1</v>
      </c>
      <c r="J4" s="18"/>
      <c r="K4" s="18"/>
      <c r="L4" s="18"/>
      <c r="M4" s="18"/>
      <c r="N4" s="18"/>
      <c r="O4" s="18"/>
      <c r="P4" s="18"/>
      <c r="Q4" s="18"/>
      <c r="R4" s="18"/>
      <c r="S4" s="18"/>
      <c r="U4" s="20" t="s">
        <v>118</v>
      </c>
      <c r="V4" s="19" t="s">
        <v>119</v>
      </c>
      <c r="W4" s="19"/>
    </row>
    <row r="5" spans="1:23" x14ac:dyDescent="0.25">
      <c r="A5" s="17"/>
      <c r="B5" s="18">
        <v>0</v>
      </c>
      <c r="C5" s="18" t="s">
        <v>81</v>
      </c>
      <c r="D5" s="18" t="s">
        <v>81</v>
      </c>
      <c r="E5" s="18" t="s">
        <v>110</v>
      </c>
      <c r="F5" s="18" t="s">
        <v>81</v>
      </c>
      <c r="G5" s="18" t="s">
        <v>81</v>
      </c>
      <c r="H5" s="18"/>
      <c r="I5" s="18">
        <v>1</v>
      </c>
      <c r="J5" s="18"/>
      <c r="K5" s="18"/>
      <c r="L5" s="18"/>
      <c r="M5" s="18"/>
      <c r="N5" s="18"/>
      <c r="O5" s="18"/>
      <c r="P5" s="18"/>
      <c r="Q5" s="18"/>
      <c r="R5" s="18"/>
      <c r="S5" s="18"/>
      <c r="U5" s="20"/>
      <c r="V5" s="19"/>
      <c r="W5" s="19"/>
    </row>
    <row r="6" spans="1:23" x14ac:dyDescent="0.25">
      <c r="A6" s="17"/>
      <c r="B6" s="18">
        <v>0</v>
      </c>
      <c r="C6" s="18" t="s">
        <v>81</v>
      </c>
      <c r="D6" s="18" t="s">
        <v>81</v>
      </c>
      <c r="E6" s="18" t="s">
        <v>110</v>
      </c>
      <c r="F6" s="18" t="s">
        <v>81</v>
      </c>
      <c r="G6" s="18" t="s">
        <v>81</v>
      </c>
      <c r="H6" s="18"/>
      <c r="I6" s="18">
        <v>1</v>
      </c>
      <c r="J6" s="18"/>
      <c r="K6" s="18"/>
      <c r="L6" s="18"/>
      <c r="M6" s="18"/>
      <c r="N6" s="18"/>
      <c r="O6" s="18"/>
      <c r="P6" s="18"/>
      <c r="Q6" s="18"/>
      <c r="R6" s="18"/>
      <c r="S6" s="18"/>
      <c r="U6" s="20" t="s">
        <v>121</v>
      </c>
      <c r="V6" s="19" t="s">
        <v>120</v>
      </c>
      <c r="W6" s="19"/>
    </row>
    <row r="7" spans="1:23" x14ac:dyDescent="0.25">
      <c r="A7" s="17"/>
      <c r="B7" s="18">
        <v>0</v>
      </c>
      <c r="C7" s="18" t="s">
        <v>81</v>
      </c>
      <c r="D7" s="18" t="s">
        <v>81</v>
      </c>
      <c r="E7" s="18" t="s">
        <v>110</v>
      </c>
      <c r="F7" s="18" t="s">
        <v>81</v>
      </c>
      <c r="G7" s="18" t="s">
        <v>81</v>
      </c>
      <c r="H7" s="18"/>
      <c r="I7" s="18">
        <v>1</v>
      </c>
      <c r="J7" s="18"/>
      <c r="K7" s="18"/>
      <c r="L7" s="18"/>
      <c r="M7" s="18"/>
      <c r="N7" s="18"/>
      <c r="O7" s="18"/>
      <c r="P7" s="18"/>
      <c r="Q7" s="18"/>
      <c r="R7" s="18"/>
      <c r="S7" s="18"/>
      <c r="U7" s="20" t="s">
        <v>122</v>
      </c>
      <c r="V7" s="19" t="s">
        <v>120</v>
      </c>
      <c r="W7" s="19"/>
    </row>
    <row r="8" spans="1:23" x14ac:dyDescent="0.25">
      <c r="A8" s="17"/>
      <c r="B8" s="18">
        <v>0</v>
      </c>
      <c r="C8" s="18" t="s">
        <v>81</v>
      </c>
      <c r="D8" s="18" t="s">
        <v>81</v>
      </c>
      <c r="E8" s="18" t="s">
        <v>110</v>
      </c>
      <c r="F8" s="18" t="s">
        <v>81</v>
      </c>
      <c r="G8" s="18" t="s">
        <v>81</v>
      </c>
      <c r="H8" s="18"/>
      <c r="I8" s="18">
        <v>1</v>
      </c>
      <c r="J8" s="18"/>
      <c r="K8" s="18"/>
      <c r="L8" s="18"/>
      <c r="M8" s="18"/>
      <c r="N8" s="18"/>
      <c r="O8" s="18"/>
      <c r="P8" s="18"/>
      <c r="Q8" s="18"/>
      <c r="R8" s="18"/>
      <c r="S8" s="18"/>
      <c r="U8" s="20" t="s">
        <v>123</v>
      </c>
      <c r="V8" s="19" t="s">
        <v>144</v>
      </c>
      <c r="W8" s="19"/>
    </row>
    <row r="9" spans="1:23" x14ac:dyDescent="0.25">
      <c r="A9" s="17"/>
      <c r="B9" s="18">
        <v>0</v>
      </c>
      <c r="C9" s="18" t="s">
        <v>81</v>
      </c>
      <c r="D9" s="18" t="s">
        <v>81</v>
      </c>
      <c r="E9" s="18" t="s">
        <v>110</v>
      </c>
      <c r="F9" s="18" t="s">
        <v>81</v>
      </c>
      <c r="G9" s="18" t="s">
        <v>81</v>
      </c>
      <c r="H9" s="18"/>
      <c r="I9" s="18">
        <v>1</v>
      </c>
      <c r="J9" s="18"/>
      <c r="K9" s="18"/>
      <c r="L9" s="18"/>
      <c r="M9" s="18"/>
      <c r="N9" s="18"/>
      <c r="O9" s="18"/>
      <c r="P9" s="18"/>
      <c r="Q9" s="18"/>
      <c r="R9" s="18"/>
      <c r="S9" s="18"/>
      <c r="U9" s="20" t="s">
        <v>124</v>
      </c>
      <c r="V9" s="19" t="s">
        <v>125</v>
      </c>
      <c r="W9" s="19"/>
    </row>
    <row r="10" spans="1:23" x14ac:dyDescent="0.25">
      <c r="A10" s="17"/>
      <c r="B10" s="18">
        <v>0</v>
      </c>
      <c r="C10" s="18" t="s">
        <v>81</v>
      </c>
      <c r="D10" s="18" t="s">
        <v>81</v>
      </c>
      <c r="E10" s="18" t="s">
        <v>110</v>
      </c>
      <c r="F10" s="18" t="s">
        <v>81</v>
      </c>
      <c r="G10" s="18" t="s">
        <v>81</v>
      </c>
      <c r="H10" s="18"/>
      <c r="I10" s="18">
        <v>1</v>
      </c>
      <c r="J10" s="18"/>
      <c r="K10" s="18"/>
      <c r="L10" s="18"/>
      <c r="M10" s="18"/>
      <c r="N10" s="18"/>
      <c r="O10" s="18"/>
      <c r="P10" s="18"/>
      <c r="Q10" s="18"/>
      <c r="R10" s="18"/>
      <c r="S10" s="18"/>
      <c r="U10" s="20" t="s">
        <v>126</v>
      </c>
      <c r="V10" s="19" t="s">
        <v>145</v>
      </c>
      <c r="W10" s="19"/>
    </row>
    <row r="11" spans="1:23" x14ac:dyDescent="0.25">
      <c r="A11" s="17"/>
      <c r="B11" s="18">
        <v>0</v>
      </c>
      <c r="C11" s="18" t="s">
        <v>81</v>
      </c>
      <c r="D11" s="18" t="s">
        <v>81</v>
      </c>
      <c r="E11" s="18" t="s">
        <v>110</v>
      </c>
      <c r="F11" s="18" t="s">
        <v>81</v>
      </c>
      <c r="G11" s="18" t="s">
        <v>81</v>
      </c>
      <c r="H11" s="18"/>
      <c r="I11" s="18">
        <v>1</v>
      </c>
      <c r="J11" s="18"/>
      <c r="K11" s="18"/>
      <c r="L11" s="18"/>
      <c r="M11" s="18"/>
      <c r="N11" s="18"/>
      <c r="O11" s="18"/>
      <c r="P11" s="18"/>
      <c r="Q11" s="18"/>
      <c r="R11" s="18"/>
      <c r="S11" s="18"/>
      <c r="U11" s="20" t="s">
        <v>127</v>
      </c>
      <c r="V11" s="19" t="s">
        <v>128</v>
      </c>
      <c r="W11" s="19"/>
    </row>
    <row r="12" spans="1:23" x14ac:dyDescent="0.25">
      <c r="A12" s="17"/>
      <c r="B12" s="18">
        <v>0</v>
      </c>
      <c r="C12" s="18" t="s">
        <v>81</v>
      </c>
      <c r="D12" s="18" t="s">
        <v>81</v>
      </c>
      <c r="E12" s="18" t="s">
        <v>110</v>
      </c>
      <c r="F12" s="18" t="s">
        <v>81</v>
      </c>
      <c r="G12" s="18" t="s">
        <v>81</v>
      </c>
      <c r="H12" s="18"/>
      <c r="I12" s="18">
        <v>1</v>
      </c>
      <c r="J12" s="18"/>
      <c r="K12" s="18"/>
      <c r="L12" s="18"/>
      <c r="M12" s="18"/>
      <c r="N12" s="18"/>
      <c r="O12" s="18"/>
      <c r="P12" s="18"/>
      <c r="Q12" s="18"/>
      <c r="R12" s="18"/>
      <c r="S12" s="18"/>
      <c r="U12" s="20" t="s">
        <v>122</v>
      </c>
      <c r="V12" s="20" t="s">
        <v>205</v>
      </c>
      <c r="W12" s="19"/>
    </row>
    <row r="13" spans="1:23" x14ac:dyDescent="0.25">
      <c r="A13" s="17"/>
      <c r="B13" s="18">
        <v>0</v>
      </c>
      <c r="C13" s="18" t="s">
        <v>81</v>
      </c>
      <c r="D13" s="18" t="s">
        <v>81</v>
      </c>
      <c r="E13" s="18" t="s">
        <v>110</v>
      </c>
      <c r="F13" s="18" t="s">
        <v>81</v>
      </c>
      <c r="G13" s="18" t="s">
        <v>81</v>
      </c>
      <c r="H13" s="18"/>
      <c r="I13" s="18">
        <v>1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U13" s="19"/>
      <c r="V13" s="19"/>
      <c r="W13" s="19"/>
    </row>
    <row r="14" spans="1:23" x14ac:dyDescent="0.25">
      <c r="A14" s="17"/>
      <c r="B14" s="18">
        <v>0</v>
      </c>
      <c r="C14" s="18" t="s">
        <v>81</v>
      </c>
      <c r="D14" s="18" t="s">
        <v>81</v>
      </c>
      <c r="E14" s="18" t="s">
        <v>110</v>
      </c>
      <c r="F14" s="18" t="s">
        <v>81</v>
      </c>
      <c r="G14" s="18" t="s">
        <v>81</v>
      </c>
      <c r="H14" s="18"/>
      <c r="I14" s="18">
        <v>1</v>
      </c>
      <c r="J14" s="18"/>
      <c r="K14" s="18"/>
      <c r="L14" s="18"/>
      <c r="M14" s="18"/>
      <c r="N14" s="18"/>
      <c r="O14" s="18"/>
      <c r="P14" s="18"/>
      <c r="Q14" s="18"/>
      <c r="R14" s="18"/>
      <c r="S14" s="18"/>
      <c r="U14" s="20" t="s">
        <v>129</v>
      </c>
      <c r="V14" s="19" t="s">
        <v>130</v>
      </c>
      <c r="W14" s="19"/>
    </row>
    <row r="15" spans="1:23" x14ac:dyDescent="0.25">
      <c r="A15" s="17"/>
      <c r="B15" s="18">
        <v>0</v>
      </c>
      <c r="C15" s="18" t="s">
        <v>81</v>
      </c>
      <c r="D15" s="18" t="s">
        <v>81</v>
      </c>
      <c r="E15" s="18" t="s">
        <v>110</v>
      </c>
      <c r="F15" s="18" t="s">
        <v>81</v>
      </c>
      <c r="G15" s="18" t="s">
        <v>81</v>
      </c>
      <c r="H15" s="18"/>
      <c r="I15" s="18">
        <v>1</v>
      </c>
      <c r="J15" s="18"/>
      <c r="K15" s="18"/>
      <c r="L15" s="18"/>
      <c r="M15" s="18"/>
      <c r="N15" s="18"/>
      <c r="O15" s="18"/>
      <c r="P15" s="18"/>
      <c r="Q15" s="18"/>
      <c r="R15" s="18"/>
      <c r="S15" s="18"/>
      <c r="U15" s="20"/>
      <c r="V15" s="19"/>
      <c r="W15" s="19"/>
    </row>
    <row r="16" spans="1:23" x14ac:dyDescent="0.25">
      <c r="A16" s="17"/>
      <c r="B16" s="18">
        <v>0</v>
      </c>
      <c r="C16" s="18" t="s">
        <v>81</v>
      </c>
      <c r="D16" s="18" t="s">
        <v>81</v>
      </c>
      <c r="E16" s="18" t="s">
        <v>110</v>
      </c>
      <c r="F16" s="18" t="s">
        <v>81</v>
      </c>
      <c r="G16" s="18" t="s">
        <v>81</v>
      </c>
      <c r="H16" s="18"/>
      <c r="I16" s="18">
        <v>1</v>
      </c>
      <c r="J16" s="18"/>
      <c r="K16" s="18"/>
      <c r="L16" s="18"/>
      <c r="M16" s="18"/>
      <c r="N16" s="18"/>
      <c r="O16" s="18"/>
      <c r="P16" s="18"/>
      <c r="Q16" s="18"/>
      <c r="R16" s="18"/>
      <c r="S16" s="18"/>
      <c r="U16" s="20" t="s">
        <v>131</v>
      </c>
      <c r="V16" s="19"/>
      <c r="W16" s="19"/>
    </row>
    <row r="17" spans="1:23" x14ac:dyDescent="0.25">
      <c r="A17" s="17"/>
      <c r="B17" s="18">
        <v>0</v>
      </c>
      <c r="C17" s="18" t="s">
        <v>81</v>
      </c>
      <c r="D17" s="18" t="s">
        <v>81</v>
      </c>
      <c r="E17" s="18" t="s">
        <v>110</v>
      </c>
      <c r="F17" s="18" t="s">
        <v>81</v>
      </c>
      <c r="G17" s="18" t="s">
        <v>81</v>
      </c>
      <c r="H17" s="18"/>
      <c r="I17" s="18">
        <v>1</v>
      </c>
      <c r="J17" s="18"/>
      <c r="K17" s="18"/>
      <c r="L17" s="18"/>
      <c r="M17" s="18"/>
      <c r="N17" s="18"/>
      <c r="O17" s="18"/>
      <c r="P17" s="18"/>
      <c r="Q17" s="18"/>
      <c r="R17" s="18"/>
      <c r="S17" s="18"/>
      <c r="U17" t="s">
        <v>82</v>
      </c>
      <c r="V17" s="7" t="s">
        <v>132</v>
      </c>
      <c r="W17" s="19"/>
    </row>
    <row r="18" spans="1:23" x14ac:dyDescent="0.25">
      <c r="A18" s="17"/>
      <c r="B18" s="18">
        <v>0</v>
      </c>
      <c r="C18" s="18" t="s">
        <v>81</v>
      </c>
      <c r="D18" s="18" t="s">
        <v>81</v>
      </c>
      <c r="E18" s="18" t="s">
        <v>110</v>
      </c>
      <c r="F18" s="18" t="s">
        <v>81</v>
      </c>
      <c r="G18" s="18" t="s">
        <v>81</v>
      </c>
      <c r="H18" s="18"/>
      <c r="I18" s="18">
        <v>1</v>
      </c>
      <c r="J18" s="18"/>
      <c r="K18" s="18"/>
      <c r="L18" s="18"/>
      <c r="M18" s="18"/>
      <c r="N18" s="18"/>
      <c r="O18" s="18"/>
      <c r="P18" s="18"/>
      <c r="Q18" s="18"/>
      <c r="R18" s="18"/>
      <c r="S18" s="18"/>
      <c r="U18" t="s">
        <v>83</v>
      </c>
      <c r="V18" s="7" t="s">
        <v>132</v>
      </c>
      <c r="W18" s="19"/>
    </row>
    <row r="19" spans="1:23" x14ac:dyDescent="0.25">
      <c r="A19" s="17"/>
      <c r="B19" s="18">
        <v>0</v>
      </c>
      <c r="C19" s="18" t="s">
        <v>81</v>
      </c>
      <c r="D19" s="18" t="s">
        <v>81</v>
      </c>
      <c r="E19" s="18" t="s">
        <v>110</v>
      </c>
      <c r="F19" s="18" t="s">
        <v>81</v>
      </c>
      <c r="G19" s="18" t="s">
        <v>81</v>
      </c>
      <c r="H19" s="18"/>
      <c r="I19" s="18">
        <v>1</v>
      </c>
      <c r="J19" s="18"/>
      <c r="K19" s="18"/>
      <c r="L19" s="18"/>
      <c r="M19" s="18"/>
      <c r="N19" s="18"/>
      <c r="O19" s="18"/>
      <c r="P19" s="18"/>
      <c r="Q19" s="18"/>
      <c r="R19" s="18"/>
      <c r="S19" s="18"/>
      <c r="U19" t="s">
        <v>84</v>
      </c>
      <c r="V19" s="7" t="s">
        <v>137</v>
      </c>
      <c r="W19" s="19"/>
    </row>
    <row r="20" spans="1:23" x14ac:dyDescent="0.25">
      <c r="A20" s="17"/>
      <c r="B20" s="18">
        <v>0</v>
      </c>
      <c r="C20" s="18" t="s">
        <v>81</v>
      </c>
      <c r="D20" s="18" t="s">
        <v>81</v>
      </c>
      <c r="E20" s="18" t="s">
        <v>110</v>
      </c>
      <c r="F20" s="18" t="s">
        <v>81</v>
      </c>
      <c r="G20" s="18" t="s">
        <v>81</v>
      </c>
      <c r="H20" s="18"/>
      <c r="I20" s="18">
        <v>1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  <c r="U20" t="s">
        <v>85</v>
      </c>
      <c r="V20" s="7" t="s">
        <v>135</v>
      </c>
      <c r="W20" s="19"/>
    </row>
    <row r="21" spans="1:23" x14ac:dyDescent="0.25">
      <c r="A21" s="17"/>
      <c r="B21" s="18">
        <v>0</v>
      </c>
      <c r="C21" s="18" t="s">
        <v>81</v>
      </c>
      <c r="D21" s="18" t="s">
        <v>81</v>
      </c>
      <c r="E21" s="18" t="s">
        <v>110</v>
      </c>
      <c r="F21" s="18" t="s">
        <v>81</v>
      </c>
      <c r="G21" s="18" t="s">
        <v>81</v>
      </c>
      <c r="H21" s="18"/>
      <c r="I21" s="18">
        <v>1</v>
      </c>
      <c r="J21" s="18"/>
      <c r="K21" s="18"/>
      <c r="L21" s="18"/>
      <c r="M21" s="18"/>
      <c r="N21" s="18"/>
      <c r="O21" s="18"/>
      <c r="P21" s="18"/>
      <c r="Q21" s="18"/>
      <c r="R21" s="18"/>
      <c r="S21" s="18"/>
      <c r="U21" t="s">
        <v>86</v>
      </c>
      <c r="V21" s="7" t="s">
        <v>138</v>
      </c>
      <c r="W21" s="19"/>
    </row>
    <row r="22" spans="1:23" x14ac:dyDescent="0.25">
      <c r="A22" s="17"/>
      <c r="B22" s="18">
        <v>0</v>
      </c>
      <c r="C22" s="18" t="s">
        <v>81</v>
      </c>
      <c r="D22" s="18" t="s">
        <v>81</v>
      </c>
      <c r="E22" s="18" t="s">
        <v>110</v>
      </c>
      <c r="F22" s="18" t="s">
        <v>81</v>
      </c>
      <c r="G22" s="18" t="s">
        <v>81</v>
      </c>
      <c r="H22" s="18"/>
      <c r="I22" s="18">
        <v>1</v>
      </c>
      <c r="J22" s="18"/>
      <c r="K22" s="18"/>
      <c r="L22" s="18"/>
      <c r="M22" s="18"/>
      <c r="N22" s="18"/>
      <c r="O22" s="18"/>
      <c r="P22" s="18"/>
      <c r="Q22" s="18"/>
      <c r="R22" s="18"/>
      <c r="S22" s="18"/>
      <c r="U22" t="s">
        <v>87</v>
      </c>
      <c r="V22" s="7" t="s">
        <v>135</v>
      </c>
      <c r="W22" s="19"/>
    </row>
    <row r="23" spans="1:23" x14ac:dyDescent="0.25">
      <c r="A23" s="17"/>
      <c r="B23" s="18">
        <v>0</v>
      </c>
      <c r="C23" s="18" t="s">
        <v>81</v>
      </c>
      <c r="D23" s="18" t="s">
        <v>81</v>
      </c>
      <c r="E23" s="18" t="s">
        <v>110</v>
      </c>
      <c r="F23" s="18" t="s">
        <v>81</v>
      </c>
      <c r="G23" s="18" t="s">
        <v>81</v>
      </c>
      <c r="H23" s="18"/>
      <c r="I23" s="18">
        <v>1</v>
      </c>
      <c r="J23" s="18"/>
      <c r="K23" s="18"/>
      <c r="L23" s="18"/>
      <c r="M23" s="18"/>
      <c r="N23" s="18"/>
      <c r="O23" s="18"/>
      <c r="P23" s="18"/>
      <c r="Q23" s="18"/>
      <c r="R23" s="18"/>
      <c r="S23" s="18"/>
      <c r="U23" t="s">
        <v>88</v>
      </c>
      <c r="V23" s="7" t="s">
        <v>137</v>
      </c>
      <c r="W23" s="19"/>
    </row>
    <row r="24" spans="1:23" x14ac:dyDescent="0.25">
      <c r="A24" s="17"/>
      <c r="B24" s="18">
        <v>0</v>
      </c>
      <c r="C24" s="18" t="s">
        <v>81</v>
      </c>
      <c r="D24" s="18" t="s">
        <v>81</v>
      </c>
      <c r="E24" s="18" t="s">
        <v>110</v>
      </c>
      <c r="F24" s="18" t="s">
        <v>81</v>
      </c>
      <c r="G24" s="18" t="s">
        <v>81</v>
      </c>
      <c r="H24" s="18"/>
      <c r="I24" s="18">
        <v>1</v>
      </c>
      <c r="J24" s="18"/>
      <c r="K24" s="18"/>
      <c r="L24" s="18"/>
      <c r="M24" s="18"/>
      <c r="N24" s="18"/>
      <c r="O24" s="18"/>
      <c r="P24" s="18"/>
      <c r="Q24" s="18"/>
      <c r="R24" s="18"/>
      <c r="S24" s="18"/>
      <c r="U24" t="s">
        <v>89</v>
      </c>
      <c r="V24" s="7" t="s">
        <v>134</v>
      </c>
      <c r="W24" s="19"/>
    </row>
    <row r="25" spans="1:23" x14ac:dyDescent="0.25">
      <c r="A25" s="17"/>
      <c r="B25" s="18">
        <v>0</v>
      </c>
      <c r="C25" s="18" t="s">
        <v>81</v>
      </c>
      <c r="D25" s="18" t="s">
        <v>81</v>
      </c>
      <c r="E25" s="18" t="s">
        <v>110</v>
      </c>
      <c r="F25" s="18" t="s">
        <v>81</v>
      </c>
      <c r="G25" s="18" t="s">
        <v>81</v>
      </c>
      <c r="H25" s="18"/>
      <c r="I25" s="18">
        <v>1</v>
      </c>
      <c r="J25" s="18"/>
      <c r="K25" s="18"/>
      <c r="L25" s="18"/>
      <c r="M25" s="18"/>
      <c r="N25" s="18"/>
      <c r="O25" s="18"/>
      <c r="P25" s="18"/>
      <c r="Q25" s="18"/>
      <c r="R25" s="18"/>
      <c r="S25" s="18"/>
      <c r="V25" s="7"/>
      <c r="W25" s="19"/>
    </row>
    <row r="26" spans="1:23" x14ac:dyDescent="0.25">
      <c r="A26" s="17"/>
      <c r="B26" s="18">
        <v>0</v>
      </c>
      <c r="C26" s="18" t="s">
        <v>81</v>
      </c>
      <c r="D26" s="18" t="s">
        <v>81</v>
      </c>
      <c r="E26" s="18" t="s">
        <v>110</v>
      </c>
      <c r="F26" s="18" t="s">
        <v>81</v>
      </c>
      <c r="G26" s="18" t="s">
        <v>81</v>
      </c>
      <c r="H26" s="18"/>
      <c r="I26" s="18">
        <v>1</v>
      </c>
      <c r="J26" s="18"/>
      <c r="K26" s="18"/>
      <c r="L26" s="18"/>
      <c r="M26" s="18"/>
      <c r="N26" s="18"/>
      <c r="O26" s="18"/>
      <c r="P26" s="18"/>
      <c r="Q26" s="18"/>
      <c r="R26" s="18"/>
      <c r="S26" s="18"/>
      <c r="U26" t="s">
        <v>91</v>
      </c>
      <c r="V26" s="7" t="s">
        <v>133</v>
      </c>
      <c r="W26" s="19"/>
    </row>
    <row r="27" spans="1:23" x14ac:dyDescent="0.25">
      <c r="A27" s="17"/>
      <c r="B27" s="18">
        <v>0</v>
      </c>
      <c r="C27" s="18" t="s">
        <v>81</v>
      </c>
      <c r="D27" s="18" t="s">
        <v>81</v>
      </c>
      <c r="E27" s="18" t="s">
        <v>110</v>
      </c>
      <c r="F27" s="18" t="s">
        <v>81</v>
      </c>
      <c r="G27" s="18" t="s">
        <v>81</v>
      </c>
      <c r="H27" s="18"/>
      <c r="I27" s="18">
        <v>1</v>
      </c>
      <c r="J27" s="18"/>
      <c r="K27" s="18"/>
      <c r="L27" s="18"/>
      <c r="M27" s="18"/>
      <c r="N27" s="18"/>
      <c r="O27" s="18"/>
      <c r="P27" s="18"/>
      <c r="Q27" s="18"/>
      <c r="R27" s="18"/>
      <c r="S27" s="18"/>
      <c r="U27" t="s">
        <v>136</v>
      </c>
      <c r="V27" s="7" t="s">
        <v>135</v>
      </c>
      <c r="W27" s="19"/>
    </row>
    <row r="28" spans="1:23" x14ac:dyDescent="0.25">
      <c r="A28" s="17"/>
      <c r="B28" s="18">
        <v>0</v>
      </c>
      <c r="C28" s="18" t="s">
        <v>81</v>
      </c>
      <c r="D28" s="18" t="s">
        <v>81</v>
      </c>
      <c r="E28" s="18" t="s">
        <v>110</v>
      </c>
      <c r="F28" s="18" t="s">
        <v>81</v>
      </c>
      <c r="G28" s="18" t="s">
        <v>81</v>
      </c>
      <c r="H28" s="18"/>
      <c r="I28" s="18">
        <v>1</v>
      </c>
      <c r="J28" s="18"/>
      <c r="K28" s="18"/>
      <c r="L28" s="18"/>
      <c r="M28" s="18"/>
      <c r="N28" s="18"/>
      <c r="O28" s="18"/>
      <c r="P28" s="18"/>
      <c r="Q28" s="18"/>
      <c r="R28" s="18"/>
      <c r="S28" s="18"/>
      <c r="U28" t="s">
        <v>92</v>
      </c>
      <c r="V28" s="7" t="s">
        <v>134</v>
      </c>
      <c r="W28" s="19"/>
    </row>
    <row r="29" spans="1:23" x14ac:dyDescent="0.25">
      <c r="A29" s="17"/>
      <c r="B29" s="18">
        <v>0</v>
      </c>
      <c r="C29" s="18" t="s">
        <v>81</v>
      </c>
      <c r="D29" s="18" t="s">
        <v>81</v>
      </c>
      <c r="E29" s="18" t="s">
        <v>110</v>
      </c>
      <c r="F29" s="18" t="s">
        <v>81</v>
      </c>
      <c r="G29" s="18" t="s">
        <v>81</v>
      </c>
      <c r="H29" s="18"/>
      <c r="I29" s="18">
        <v>1</v>
      </c>
      <c r="J29" s="18"/>
      <c r="K29" s="18"/>
      <c r="L29" s="18"/>
      <c r="M29" s="18"/>
      <c r="N29" s="18"/>
      <c r="O29" s="18"/>
      <c r="P29" s="18"/>
      <c r="Q29" s="18"/>
      <c r="R29" s="18"/>
      <c r="S29" s="18"/>
      <c r="U29" t="s">
        <v>93</v>
      </c>
      <c r="V29" s="7" t="s">
        <v>137</v>
      </c>
      <c r="W29" s="19"/>
    </row>
    <row r="30" spans="1:23" x14ac:dyDescent="0.25">
      <c r="A30" s="17"/>
      <c r="B30" s="18">
        <v>0</v>
      </c>
      <c r="C30" s="18" t="s">
        <v>81</v>
      </c>
      <c r="D30" s="18" t="s">
        <v>81</v>
      </c>
      <c r="E30" s="18" t="s">
        <v>110</v>
      </c>
      <c r="F30" s="18" t="s">
        <v>81</v>
      </c>
      <c r="G30" s="18" t="s">
        <v>81</v>
      </c>
      <c r="H30" s="18"/>
      <c r="I30" s="18">
        <v>1</v>
      </c>
      <c r="J30" s="18"/>
      <c r="K30" s="18"/>
      <c r="L30" s="18"/>
      <c r="M30" s="18"/>
      <c r="N30" s="18"/>
      <c r="O30" s="18"/>
      <c r="P30" s="18"/>
      <c r="Q30" s="18"/>
      <c r="R30" s="18"/>
      <c r="S30" s="18"/>
      <c r="U30" t="s">
        <v>94</v>
      </c>
      <c r="V30" s="7" t="s">
        <v>137</v>
      </c>
      <c r="W30" s="19"/>
    </row>
    <row r="31" spans="1:23" x14ac:dyDescent="0.25">
      <c r="A31" s="17"/>
      <c r="B31" s="18">
        <v>0</v>
      </c>
      <c r="C31" s="18" t="s">
        <v>81</v>
      </c>
      <c r="D31" s="18" t="s">
        <v>81</v>
      </c>
      <c r="E31" s="18" t="s">
        <v>110</v>
      </c>
      <c r="F31" s="18" t="s">
        <v>81</v>
      </c>
      <c r="G31" s="18" t="s">
        <v>81</v>
      </c>
      <c r="H31" s="18"/>
      <c r="I31" s="18">
        <v>1</v>
      </c>
      <c r="J31" s="18"/>
      <c r="K31" s="18"/>
      <c r="L31" s="18"/>
      <c r="M31" s="18"/>
      <c r="N31" s="18"/>
      <c r="O31" s="18"/>
      <c r="P31" s="18"/>
      <c r="Q31" s="18"/>
      <c r="R31" s="18"/>
      <c r="S31" s="18"/>
      <c r="U31" t="s">
        <v>38</v>
      </c>
      <c r="V31" s="7" t="s">
        <v>133</v>
      </c>
      <c r="W31" s="19"/>
    </row>
    <row r="43" spans="3:7" x14ac:dyDescent="0.25">
      <c r="C43" s="16" t="s">
        <v>81</v>
      </c>
      <c r="D43" t="s">
        <v>81</v>
      </c>
      <c r="E43" t="s">
        <v>110</v>
      </c>
      <c r="F43" t="s">
        <v>81</v>
      </c>
      <c r="G43" t="s">
        <v>81</v>
      </c>
    </row>
    <row r="44" spans="3:7" x14ac:dyDescent="0.25">
      <c r="C44" s="16" t="s">
        <v>75</v>
      </c>
      <c r="D44" t="s">
        <v>82</v>
      </c>
      <c r="E44" t="s">
        <v>95</v>
      </c>
      <c r="F44" t="s">
        <v>112</v>
      </c>
      <c r="G44" t="s">
        <v>111</v>
      </c>
    </row>
    <row r="45" spans="3:7" x14ac:dyDescent="0.25">
      <c r="C45" s="16" t="s">
        <v>76</v>
      </c>
      <c r="D45" t="s">
        <v>83</v>
      </c>
      <c r="E45" t="s">
        <v>96</v>
      </c>
      <c r="F45" t="s">
        <v>155</v>
      </c>
      <c r="G45" t="s">
        <v>117</v>
      </c>
    </row>
    <row r="46" spans="3:7" x14ac:dyDescent="0.25">
      <c r="C46" s="16" t="s">
        <v>77</v>
      </c>
      <c r="D46" t="s">
        <v>84</v>
      </c>
      <c r="E46" t="s">
        <v>97</v>
      </c>
      <c r="F46" t="s">
        <v>113</v>
      </c>
      <c r="G46" t="s">
        <v>116</v>
      </c>
    </row>
    <row r="47" spans="3:7" x14ac:dyDescent="0.25">
      <c r="C47" s="16" t="s">
        <v>78</v>
      </c>
      <c r="D47" t="s">
        <v>85</v>
      </c>
      <c r="E47" t="s">
        <v>98</v>
      </c>
      <c r="F47" t="s">
        <v>38</v>
      </c>
      <c r="G47" t="s">
        <v>85</v>
      </c>
    </row>
    <row r="48" spans="3:7" x14ac:dyDescent="0.25">
      <c r="C48" s="16" t="s">
        <v>79</v>
      </c>
      <c r="D48" t="s">
        <v>86</v>
      </c>
      <c r="E48" t="s">
        <v>99</v>
      </c>
      <c r="F48" t="s">
        <v>114</v>
      </c>
    </row>
    <row r="49" spans="3:6" x14ac:dyDescent="0.25">
      <c r="C49" s="16" t="s">
        <v>80</v>
      </c>
      <c r="D49" t="s">
        <v>87</v>
      </c>
      <c r="E49" t="s">
        <v>100</v>
      </c>
      <c r="F49" t="s">
        <v>141</v>
      </c>
    </row>
    <row r="50" spans="3:6" x14ac:dyDescent="0.25">
      <c r="D50" t="s">
        <v>88</v>
      </c>
      <c r="E50" t="s">
        <v>101</v>
      </c>
      <c r="F50" t="s">
        <v>156</v>
      </c>
    </row>
    <row r="51" spans="3:6" x14ac:dyDescent="0.25">
      <c r="D51" t="s">
        <v>89</v>
      </c>
      <c r="E51" t="s">
        <v>76</v>
      </c>
      <c r="F51" t="s">
        <v>115</v>
      </c>
    </row>
    <row r="52" spans="3:6" x14ac:dyDescent="0.25">
      <c r="D52" t="s">
        <v>90</v>
      </c>
      <c r="E52" t="s">
        <v>102</v>
      </c>
    </row>
    <row r="53" spans="3:6" x14ac:dyDescent="0.25">
      <c r="D53" t="s">
        <v>91</v>
      </c>
      <c r="E53" t="s">
        <v>103</v>
      </c>
    </row>
    <row r="54" spans="3:6" x14ac:dyDescent="0.25">
      <c r="D54" t="s">
        <v>136</v>
      </c>
      <c r="E54" t="s">
        <v>104</v>
      </c>
    </row>
    <row r="55" spans="3:6" x14ac:dyDescent="0.25">
      <c r="D55" t="s">
        <v>92</v>
      </c>
      <c r="E55" t="s">
        <v>105</v>
      </c>
    </row>
    <row r="56" spans="3:6" x14ac:dyDescent="0.25">
      <c r="D56" t="s">
        <v>38</v>
      </c>
      <c r="E56" t="s">
        <v>106</v>
      </c>
    </row>
    <row r="57" spans="3:6" x14ac:dyDescent="0.25">
      <c r="D57" t="s">
        <v>93</v>
      </c>
      <c r="E57" t="s">
        <v>107</v>
      </c>
    </row>
    <row r="58" spans="3:6" x14ac:dyDescent="0.25">
      <c r="D58" t="s">
        <v>94</v>
      </c>
      <c r="E58" t="s">
        <v>108</v>
      </c>
    </row>
    <row r="59" spans="3:6" x14ac:dyDescent="0.25">
      <c r="E59" t="s">
        <v>109</v>
      </c>
    </row>
    <row r="60" spans="3:6" x14ac:dyDescent="0.25">
      <c r="E60" t="s">
        <v>11</v>
      </c>
    </row>
  </sheetData>
  <mergeCells count="2">
    <mergeCell ref="A1:S1"/>
    <mergeCell ref="U2:W2"/>
  </mergeCells>
  <dataValidations count="5">
    <dataValidation type="list" allowBlank="1" showInputMessage="1" showErrorMessage="1" sqref="C3:C31" xr:uid="{00000000-0002-0000-0200-000000000000}">
      <formula1>$C$43:$C$49</formula1>
    </dataValidation>
    <dataValidation type="list" allowBlank="1" showInputMessage="1" showErrorMessage="1" sqref="E3:E31" xr:uid="{00000000-0002-0000-0200-000001000000}">
      <formula1>$E$43:$E$60</formula1>
    </dataValidation>
    <dataValidation type="list" allowBlank="1" showInputMessage="1" showErrorMessage="1" sqref="D3:D31" xr:uid="{00000000-0002-0000-0200-000002000000}">
      <formula1>$D$43:$D$58</formula1>
    </dataValidation>
    <dataValidation type="list" allowBlank="1" showInputMessage="1" showErrorMessage="1" sqref="G3:G31" xr:uid="{00000000-0002-0000-0200-000003000000}">
      <formula1>$G$43:$G$47</formula1>
    </dataValidation>
    <dataValidation type="list" allowBlank="1" showInputMessage="1" showErrorMessage="1" sqref="F3:F31" xr:uid="{00000000-0002-0000-0200-000004000000}">
      <formula1>$F$43:$F$51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Y30"/>
  <sheetViews>
    <sheetView zoomScale="85" zoomScaleNormal="85" workbookViewId="0">
      <selection activeCell="G4" sqref="G4"/>
    </sheetView>
  </sheetViews>
  <sheetFormatPr defaultRowHeight="15" x14ac:dyDescent="0.25"/>
  <cols>
    <col min="1" max="1" width="14.7109375" bestFit="1" customWidth="1"/>
    <col min="2" max="2" width="12" bestFit="1" customWidth="1"/>
    <col min="3" max="3" width="32" bestFit="1" customWidth="1"/>
    <col min="4" max="4" width="14.7109375" bestFit="1" customWidth="1"/>
    <col min="5" max="5" width="14.28515625" bestFit="1" customWidth="1"/>
    <col min="6" max="6" width="17.42578125" bestFit="1" customWidth="1"/>
    <col min="7" max="7" width="13.5703125" bestFit="1" customWidth="1"/>
    <col min="8" max="8" width="10.42578125" bestFit="1" customWidth="1"/>
    <col min="9" max="9" width="11.5703125" customWidth="1"/>
    <col min="10" max="10" width="27.5703125" bestFit="1" customWidth="1"/>
    <col min="11" max="11" width="31.85546875" bestFit="1" customWidth="1"/>
    <col min="13" max="13" width="38.42578125" bestFit="1" customWidth="1"/>
    <col min="14" max="14" width="25.85546875" bestFit="1" customWidth="1"/>
  </cols>
  <sheetData>
    <row r="1" spans="1:25" x14ac:dyDescent="0.25">
      <c r="A1" s="15" t="s">
        <v>61</v>
      </c>
      <c r="B1" s="15" t="s">
        <v>70</v>
      </c>
      <c r="C1" s="15" t="s">
        <v>62</v>
      </c>
      <c r="D1" s="15" t="s">
        <v>63</v>
      </c>
      <c r="E1" s="15" t="s">
        <v>64</v>
      </c>
      <c r="F1" s="15" t="s">
        <v>65</v>
      </c>
      <c r="G1" s="15" t="s">
        <v>66</v>
      </c>
      <c r="H1" s="15" t="s">
        <v>67</v>
      </c>
      <c r="I1" s="15" t="s">
        <v>68</v>
      </c>
      <c r="J1" s="15" t="s">
        <v>169</v>
      </c>
      <c r="K1" s="15" t="s">
        <v>140</v>
      </c>
      <c r="L1" s="15" t="s">
        <v>71</v>
      </c>
      <c r="M1" s="15" t="s">
        <v>72</v>
      </c>
      <c r="N1" s="15" t="s">
        <v>129</v>
      </c>
      <c r="O1" s="15"/>
      <c r="P1" s="15" t="s">
        <v>73</v>
      </c>
      <c r="Q1" s="15"/>
      <c r="R1" s="15" t="s">
        <v>74</v>
      </c>
      <c r="S1" s="15"/>
      <c r="U1" s="21"/>
      <c r="V1" s="21"/>
      <c r="W1" s="21"/>
      <c r="X1" s="21"/>
      <c r="Y1" s="21"/>
    </row>
    <row r="2" spans="1:25" x14ac:dyDescent="0.25">
      <c r="A2" s="17" t="s">
        <v>82</v>
      </c>
      <c r="B2" s="18">
        <v>0</v>
      </c>
      <c r="C2" s="18" t="s">
        <v>161</v>
      </c>
      <c r="D2" s="18" t="s">
        <v>82</v>
      </c>
      <c r="E2" s="18" t="s">
        <v>120</v>
      </c>
      <c r="F2" s="18" t="s">
        <v>162</v>
      </c>
      <c r="G2" s="18" t="s">
        <v>163</v>
      </c>
      <c r="H2" s="18" t="s">
        <v>164</v>
      </c>
      <c r="I2" s="18">
        <v>1</v>
      </c>
      <c r="J2" s="18" t="s">
        <v>165</v>
      </c>
      <c r="K2" s="18" t="s">
        <v>166</v>
      </c>
      <c r="L2" s="18" t="s">
        <v>26</v>
      </c>
      <c r="M2" s="18"/>
      <c r="N2" s="18" t="s">
        <v>167</v>
      </c>
      <c r="O2" s="18"/>
      <c r="P2" s="18" t="s">
        <v>120</v>
      </c>
      <c r="Q2" s="18"/>
      <c r="R2" s="18" t="s">
        <v>168</v>
      </c>
      <c r="S2" s="18"/>
      <c r="U2" s="21"/>
      <c r="V2" s="21"/>
      <c r="W2" s="21"/>
      <c r="X2" s="21"/>
      <c r="Y2" s="21"/>
    </row>
    <row r="3" spans="1:25" x14ac:dyDescent="0.25">
      <c r="A3" s="17" t="s">
        <v>83</v>
      </c>
      <c r="B3" s="18">
        <v>0</v>
      </c>
      <c r="C3" s="18" t="s">
        <v>161</v>
      </c>
      <c r="D3" s="18" t="s">
        <v>83</v>
      </c>
      <c r="E3" s="18" t="s">
        <v>120</v>
      </c>
      <c r="F3" s="18" t="s">
        <v>162</v>
      </c>
      <c r="G3" s="18" t="s">
        <v>120</v>
      </c>
      <c r="H3" s="18" t="s">
        <v>120</v>
      </c>
      <c r="I3" s="18">
        <v>1</v>
      </c>
      <c r="J3" s="18" t="s">
        <v>165</v>
      </c>
      <c r="K3" s="18" t="s">
        <v>166</v>
      </c>
      <c r="L3" s="18" t="s">
        <v>33</v>
      </c>
      <c r="M3" s="18"/>
      <c r="N3" s="18" t="s">
        <v>167</v>
      </c>
      <c r="O3" s="18"/>
      <c r="P3" s="18" t="s">
        <v>120</v>
      </c>
      <c r="Q3" s="18"/>
      <c r="R3" s="18" t="s">
        <v>168</v>
      </c>
      <c r="S3" s="18"/>
      <c r="U3" s="21"/>
      <c r="V3" s="21"/>
      <c r="W3" s="21"/>
      <c r="X3" s="21"/>
      <c r="Y3" s="21"/>
    </row>
    <row r="4" spans="1:25" x14ac:dyDescent="0.25">
      <c r="A4" s="17" t="s">
        <v>38</v>
      </c>
      <c r="B4" s="18">
        <v>0</v>
      </c>
      <c r="C4" s="18" t="s">
        <v>170</v>
      </c>
      <c r="D4" s="18" t="s">
        <v>38</v>
      </c>
      <c r="E4" s="18" t="s">
        <v>120</v>
      </c>
      <c r="F4" s="18" t="s">
        <v>203</v>
      </c>
      <c r="G4" s="18" t="s">
        <v>171</v>
      </c>
      <c r="H4" s="18" t="s">
        <v>120</v>
      </c>
      <c r="I4" s="18">
        <v>1</v>
      </c>
      <c r="J4" s="18" t="s">
        <v>110</v>
      </c>
      <c r="K4" s="18" t="s">
        <v>166</v>
      </c>
      <c r="L4" s="18" t="s">
        <v>81</v>
      </c>
      <c r="M4" s="18" t="s">
        <v>202</v>
      </c>
      <c r="N4" s="18" t="s">
        <v>172</v>
      </c>
      <c r="O4" s="18"/>
      <c r="P4" s="18" t="s">
        <v>120</v>
      </c>
      <c r="Q4" s="18"/>
      <c r="R4" s="18" t="s">
        <v>173</v>
      </c>
      <c r="S4" s="18"/>
      <c r="U4" s="21"/>
      <c r="V4" s="21" t="s">
        <v>157</v>
      </c>
      <c r="W4" s="21"/>
      <c r="X4" s="21"/>
      <c r="Y4" s="21"/>
    </row>
    <row r="5" spans="1:25" x14ac:dyDescent="0.25">
      <c r="A5" s="17" t="s">
        <v>84</v>
      </c>
      <c r="B5" s="18">
        <v>0</v>
      </c>
      <c r="C5" s="18" t="s">
        <v>174</v>
      </c>
      <c r="D5" s="18" t="s">
        <v>84</v>
      </c>
      <c r="E5" s="18" t="s">
        <v>120</v>
      </c>
      <c r="F5" s="18" t="s">
        <v>162</v>
      </c>
      <c r="G5" s="18" t="s">
        <v>175</v>
      </c>
      <c r="H5" s="18" t="s">
        <v>120</v>
      </c>
      <c r="I5" s="18">
        <v>1</v>
      </c>
      <c r="J5" s="18" t="s">
        <v>176</v>
      </c>
      <c r="K5" s="18" t="s">
        <v>166</v>
      </c>
      <c r="L5" s="18" t="s">
        <v>27</v>
      </c>
      <c r="M5" s="18"/>
      <c r="N5" s="18" t="s">
        <v>177</v>
      </c>
      <c r="O5" s="18"/>
      <c r="P5" s="18" t="s">
        <v>120</v>
      </c>
      <c r="Q5" s="18"/>
      <c r="R5" s="18" t="s">
        <v>178</v>
      </c>
      <c r="S5" s="18"/>
      <c r="U5" s="21"/>
      <c r="V5" s="21" t="s">
        <v>158</v>
      </c>
      <c r="W5" s="21"/>
      <c r="X5" s="21"/>
      <c r="Y5" s="21"/>
    </row>
    <row r="6" spans="1:25" x14ac:dyDescent="0.25">
      <c r="A6" s="17" t="s">
        <v>85</v>
      </c>
      <c r="B6" s="18">
        <v>0</v>
      </c>
      <c r="C6" s="18" t="s">
        <v>161</v>
      </c>
      <c r="D6" s="18" t="s">
        <v>85</v>
      </c>
      <c r="E6" s="18" t="s">
        <v>120</v>
      </c>
      <c r="F6" s="18" t="s">
        <v>162</v>
      </c>
      <c r="G6" s="18" t="s">
        <v>85</v>
      </c>
      <c r="H6" s="18" t="s">
        <v>120</v>
      </c>
      <c r="I6" s="18">
        <v>1</v>
      </c>
      <c r="J6" s="18" t="s">
        <v>165</v>
      </c>
      <c r="K6" s="18" t="s">
        <v>166</v>
      </c>
      <c r="L6" s="18" t="s">
        <v>33</v>
      </c>
      <c r="M6" s="18"/>
      <c r="N6" s="18" t="s">
        <v>167</v>
      </c>
      <c r="O6" s="18"/>
      <c r="P6" s="18" t="s">
        <v>120</v>
      </c>
      <c r="Q6" s="18"/>
      <c r="R6" s="18" t="s">
        <v>168</v>
      </c>
      <c r="S6" s="18"/>
      <c r="U6" s="21"/>
      <c r="V6" s="21" t="s">
        <v>159</v>
      </c>
      <c r="W6" s="21"/>
      <c r="X6" s="21"/>
      <c r="Y6" s="21"/>
    </row>
    <row r="7" spans="1:25" x14ac:dyDescent="0.25">
      <c r="A7" s="17" t="s">
        <v>86</v>
      </c>
      <c r="B7" s="18">
        <v>0</v>
      </c>
      <c r="C7" s="18" t="s">
        <v>179</v>
      </c>
      <c r="D7" s="18" t="s">
        <v>86</v>
      </c>
      <c r="E7" s="18" t="s">
        <v>120</v>
      </c>
      <c r="F7" s="18" t="s">
        <v>162</v>
      </c>
      <c r="G7" s="18" t="s">
        <v>85</v>
      </c>
      <c r="H7" s="18" t="s">
        <v>120</v>
      </c>
      <c r="I7" s="18">
        <v>1</v>
      </c>
      <c r="J7" s="18" t="s">
        <v>110</v>
      </c>
      <c r="K7" s="18" t="s">
        <v>166</v>
      </c>
      <c r="L7" s="18" t="s">
        <v>28</v>
      </c>
      <c r="M7" s="18" t="s">
        <v>181</v>
      </c>
      <c r="N7" s="18" t="s">
        <v>110</v>
      </c>
      <c r="O7" s="18"/>
      <c r="P7" s="18" t="s">
        <v>120</v>
      </c>
      <c r="Q7" s="18"/>
      <c r="R7" s="18" t="s">
        <v>180</v>
      </c>
      <c r="S7" s="18"/>
      <c r="U7" s="21"/>
      <c r="V7" s="21" t="s">
        <v>160</v>
      </c>
      <c r="W7" s="21"/>
      <c r="X7" s="21"/>
      <c r="Y7" s="21"/>
    </row>
    <row r="8" spans="1:25" x14ac:dyDescent="0.25">
      <c r="A8" s="17" t="s">
        <v>87</v>
      </c>
      <c r="B8" s="18">
        <v>0</v>
      </c>
      <c r="C8" s="18" t="s">
        <v>182</v>
      </c>
      <c r="D8" s="18" t="s">
        <v>87</v>
      </c>
      <c r="E8" s="18" t="s">
        <v>120</v>
      </c>
      <c r="F8" s="18" t="s">
        <v>162</v>
      </c>
      <c r="G8" s="18" t="s">
        <v>120</v>
      </c>
      <c r="H8" s="18" t="s">
        <v>120</v>
      </c>
      <c r="I8" s="18">
        <v>1</v>
      </c>
      <c r="J8" s="18">
        <v>3</v>
      </c>
      <c r="K8" s="18" t="s">
        <v>166</v>
      </c>
      <c r="L8" s="18" t="s">
        <v>27</v>
      </c>
      <c r="M8" s="18"/>
      <c r="N8" s="18" t="s">
        <v>183</v>
      </c>
      <c r="O8" s="18"/>
      <c r="P8" s="18" t="s">
        <v>120</v>
      </c>
      <c r="Q8" s="18"/>
      <c r="R8" s="18" t="s">
        <v>184</v>
      </c>
      <c r="S8" s="18"/>
      <c r="U8" s="21"/>
      <c r="V8" s="21"/>
      <c r="W8" s="21"/>
      <c r="X8" s="21"/>
      <c r="Y8" s="21"/>
    </row>
    <row r="9" spans="1:25" x14ac:dyDescent="0.25">
      <c r="A9" s="17" t="s">
        <v>88</v>
      </c>
      <c r="B9" s="18">
        <v>0</v>
      </c>
      <c r="C9" s="18" t="s">
        <v>186</v>
      </c>
      <c r="D9" s="18" t="s">
        <v>88</v>
      </c>
      <c r="E9" s="18" t="s">
        <v>120</v>
      </c>
      <c r="F9" s="18" t="s">
        <v>162</v>
      </c>
      <c r="G9" s="18" t="s">
        <v>120</v>
      </c>
      <c r="H9" s="18" t="s">
        <v>120</v>
      </c>
      <c r="I9" s="18">
        <v>1</v>
      </c>
      <c r="J9" s="18" t="s">
        <v>165</v>
      </c>
      <c r="K9" s="18" t="s">
        <v>166</v>
      </c>
      <c r="L9" s="18" t="s">
        <v>28</v>
      </c>
      <c r="M9" s="18"/>
      <c r="N9" s="18" t="s">
        <v>185</v>
      </c>
      <c r="O9" s="18"/>
      <c r="P9" s="18" t="s">
        <v>120</v>
      </c>
      <c r="Q9" s="18"/>
      <c r="R9" s="18" t="s">
        <v>168</v>
      </c>
      <c r="S9" s="18"/>
      <c r="U9" s="21"/>
      <c r="V9" s="21"/>
      <c r="W9" s="21"/>
      <c r="X9" s="21"/>
      <c r="Y9" s="21"/>
    </row>
    <row r="10" spans="1:25" x14ac:dyDescent="0.25">
      <c r="A10" s="17" t="s">
        <v>89</v>
      </c>
      <c r="B10" s="18">
        <v>0</v>
      </c>
      <c r="C10" s="18" t="s">
        <v>187</v>
      </c>
      <c r="D10" s="18" t="s">
        <v>89</v>
      </c>
      <c r="E10" s="18" t="s">
        <v>120</v>
      </c>
      <c r="F10" s="18" t="s">
        <v>162</v>
      </c>
      <c r="G10" s="18" t="s">
        <v>188</v>
      </c>
      <c r="H10" s="18" t="s">
        <v>188</v>
      </c>
      <c r="I10" s="18">
        <v>1</v>
      </c>
      <c r="J10" s="18">
        <v>3</v>
      </c>
      <c r="K10" s="18" t="s">
        <v>166</v>
      </c>
      <c r="L10" s="18" t="s">
        <v>26</v>
      </c>
      <c r="M10" s="18" t="s">
        <v>204</v>
      </c>
      <c r="N10" s="18" t="s">
        <v>167</v>
      </c>
      <c r="O10" s="18"/>
      <c r="P10" s="18" t="s">
        <v>120</v>
      </c>
      <c r="Q10" s="18"/>
      <c r="R10" s="18"/>
      <c r="S10" s="18"/>
      <c r="U10" s="21"/>
      <c r="V10" s="21"/>
      <c r="W10" s="21"/>
      <c r="X10" s="21"/>
      <c r="Y10" s="21"/>
    </row>
    <row r="11" spans="1:25" x14ac:dyDescent="0.25">
      <c r="A11" s="17" t="s">
        <v>90</v>
      </c>
      <c r="B11" s="18">
        <v>0</v>
      </c>
      <c r="C11" s="18" t="s">
        <v>189</v>
      </c>
      <c r="D11" s="18" t="s">
        <v>90</v>
      </c>
      <c r="E11" s="18" t="s">
        <v>190</v>
      </c>
      <c r="F11" s="18" t="s">
        <v>162</v>
      </c>
      <c r="G11" s="18" t="s">
        <v>120</v>
      </c>
      <c r="H11" s="18" t="s">
        <v>120</v>
      </c>
      <c r="I11" s="18">
        <v>1</v>
      </c>
      <c r="J11" s="18" t="s">
        <v>165</v>
      </c>
      <c r="K11" s="18" t="s">
        <v>166</v>
      </c>
      <c r="L11" s="18" t="s">
        <v>28</v>
      </c>
      <c r="M11" s="18"/>
      <c r="N11" s="18" t="s">
        <v>191</v>
      </c>
      <c r="O11" s="18"/>
      <c r="P11" s="18" t="s">
        <v>120</v>
      </c>
      <c r="Q11" s="18"/>
      <c r="R11" s="18"/>
      <c r="S11" s="18"/>
      <c r="U11" s="21"/>
      <c r="V11" s="21"/>
      <c r="W11" s="21"/>
      <c r="X11" s="21"/>
      <c r="Y11" s="21"/>
    </row>
    <row r="12" spans="1:25" x14ac:dyDescent="0.25">
      <c r="A12" s="17" t="s">
        <v>91</v>
      </c>
      <c r="B12" s="18">
        <v>0</v>
      </c>
      <c r="C12" s="18" t="s">
        <v>192</v>
      </c>
      <c r="D12" s="18" t="s">
        <v>91</v>
      </c>
      <c r="E12" s="18" t="s">
        <v>120</v>
      </c>
      <c r="F12" s="18" t="s">
        <v>162</v>
      </c>
      <c r="G12" s="18" t="s">
        <v>120</v>
      </c>
      <c r="H12" s="18" t="s">
        <v>120</v>
      </c>
      <c r="I12" s="18">
        <v>1</v>
      </c>
      <c r="J12" s="18" t="s">
        <v>110</v>
      </c>
      <c r="K12" s="18" t="s">
        <v>166</v>
      </c>
      <c r="L12" s="18" t="s">
        <v>27</v>
      </c>
      <c r="M12" s="18"/>
      <c r="N12" s="18" t="s">
        <v>110</v>
      </c>
      <c r="O12" s="18"/>
      <c r="P12" s="18" t="s">
        <v>120</v>
      </c>
      <c r="Q12" s="18"/>
      <c r="R12" s="18"/>
      <c r="S12" s="18"/>
      <c r="U12" s="21"/>
      <c r="V12" s="21"/>
      <c r="W12" s="21"/>
      <c r="X12" s="21"/>
      <c r="Y12" s="21"/>
    </row>
    <row r="13" spans="1:25" x14ac:dyDescent="0.25">
      <c r="A13" s="17" t="s">
        <v>136</v>
      </c>
      <c r="B13" s="18">
        <v>0</v>
      </c>
      <c r="C13" s="18" t="s">
        <v>193</v>
      </c>
      <c r="D13" s="18" t="s">
        <v>136</v>
      </c>
      <c r="E13" s="18" t="s">
        <v>120</v>
      </c>
      <c r="F13" s="18" t="s">
        <v>162</v>
      </c>
      <c r="G13" s="18" t="s">
        <v>85</v>
      </c>
      <c r="H13" s="18" t="s">
        <v>120</v>
      </c>
      <c r="I13" s="18">
        <v>1</v>
      </c>
      <c r="J13" s="18">
        <v>3</v>
      </c>
      <c r="K13" s="18" t="s">
        <v>166</v>
      </c>
      <c r="L13" s="18" t="s">
        <v>30</v>
      </c>
      <c r="M13" s="18"/>
      <c r="N13" s="18" t="s">
        <v>177</v>
      </c>
      <c r="O13" s="18"/>
      <c r="P13" s="18" t="s">
        <v>120</v>
      </c>
      <c r="Q13" s="18"/>
      <c r="R13" s="18"/>
      <c r="S13" s="18"/>
      <c r="U13" s="21"/>
      <c r="V13" s="21"/>
      <c r="W13" s="21"/>
      <c r="X13" s="21"/>
      <c r="Y13" s="21"/>
    </row>
    <row r="14" spans="1:25" x14ac:dyDescent="0.25">
      <c r="A14" s="17" t="s">
        <v>92</v>
      </c>
      <c r="B14" s="18">
        <v>0</v>
      </c>
      <c r="C14" s="18" t="s">
        <v>195</v>
      </c>
      <c r="D14" s="18" t="s">
        <v>92</v>
      </c>
      <c r="E14" s="18" t="s">
        <v>120</v>
      </c>
      <c r="F14" s="18" t="s">
        <v>194</v>
      </c>
      <c r="G14" s="18" t="s">
        <v>110</v>
      </c>
      <c r="H14" s="18" t="s">
        <v>196</v>
      </c>
      <c r="I14" s="18" t="s">
        <v>197</v>
      </c>
      <c r="J14" s="18" t="s">
        <v>110</v>
      </c>
      <c r="K14" s="18" t="s">
        <v>166</v>
      </c>
      <c r="L14" s="18" t="s">
        <v>30</v>
      </c>
      <c r="M14" s="18"/>
      <c r="N14" s="18" t="s">
        <v>110</v>
      </c>
      <c r="O14" s="18"/>
      <c r="P14" s="18" t="s">
        <v>120</v>
      </c>
      <c r="Q14" s="18"/>
      <c r="R14" s="18"/>
      <c r="S14" s="18"/>
      <c r="U14" s="21"/>
      <c r="V14" s="21"/>
      <c r="W14" s="21"/>
      <c r="X14" s="21"/>
      <c r="Y14" s="21"/>
    </row>
    <row r="15" spans="1:25" x14ac:dyDescent="0.25">
      <c r="A15" s="17"/>
      <c r="B15" s="18">
        <v>0</v>
      </c>
      <c r="C15" s="18"/>
      <c r="D15" s="18"/>
      <c r="E15" s="18"/>
      <c r="F15" s="18"/>
      <c r="G15" s="18"/>
      <c r="H15" s="18"/>
      <c r="I15" s="18">
        <v>1</v>
      </c>
      <c r="J15" s="18"/>
      <c r="K15" s="18" t="s">
        <v>166</v>
      </c>
      <c r="L15" s="18"/>
      <c r="M15" s="18"/>
      <c r="N15" s="18"/>
      <c r="O15" s="18"/>
      <c r="P15" s="18"/>
      <c r="Q15" s="18"/>
      <c r="R15" s="18"/>
      <c r="S15" s="18"/>
      <c r="U15" s="21"/>
      <c r="V15" s="21"/>
      <c r="W15" s="21"/>
      <c r="X15" s="21"/>
      <c r="Y15" s="21"/>
    </row>
    <row r="16" spans="1:25" x14ac:dyDescent="0.25">
      <c r="A16" s="17"/>
      <c r="B16" s="18">
        <v>0</v>
      </c>
      <c r="C16" s="18"/>
      <c r="D16" s="18"/>
      <c r="E16" s="18"/>
      <c r="F16" s="18"/>
      <c r="G16" s="18"/>
      <c r="H16" s="18"/>
      <c r="I16" s="18">
        <v>1</v>
      </c>
      <c r="J16" s="18"/>
      <c r="K16" s="18" t="s">
        <v>166</v>
      </c>
      <c r="L16" s="18"/>
      <c r="M16" s="18"/>
      <c r="N16" s="18"/>
      <c r="O16" s="18"/>
      <c r="P16" s="18"/>
      <c r="Q16" s="18"/>
      <c r="R16" s="18"/>
      <c r="S16" s="18"/>
      <c r="U16" s="21"/>
      <c r="V16" s="21"/>
      <c r="W16" s="21"/>
      <c r="X16" s="21"/>
      <c r="Y16" s="21"/>
    </row>
    <row r="17" spans="1:25" x14ac:dyDescent="0.25">
      <c r="A17" s="17"/>
      <c r="B17" s="18">
        <v>0</v>
      </c>
      <c r="C17" s="22"/>
      <c r="D17" s="22"/>
      <c r="E17" s="22"/>
      <c r="F17" s="22"/>
      <c r="G17" s="22"/>
      <c r="H17" s="22"/>
      <c r="I17" s="18">
        <v>1</v>
      </c>
      <c r="J17" s="18"/>
      <c r="K17" s="18" t="s">
        <v>166</v>
      </c>
      <c r="L17" s="18"/>
      <c r="M17" s="18"/>
      <c r="N17" s="18"/>
      <c r="O17" s="18"/>
      <c r="P17" s="18"/>
      <c r="Q17" s="18"/>
      <c r="R17" s="18"/>
      <c r="S17" s="18"/>
      <c r="U17" s="21"/>
      <c r="V17" s="21"/>
      <c r="W17" s="21"/>
      <c r="X17" s="21"/>
      <c r="Y17" s="21"/>
    </row>
    <row r="18" spans="1:25" x14ac:dyDescent="0.25">
      <c r="A18" s="17"/>
      <c r="B18" s="18">
        <v>0</v>
      </c>
      <c r="C18" s="22"/>
      <c r="D18" s="22"/>
      <c r="E18" s="22"/>
      <c r="F18" s="22"/>
      <c r="G18" s="22"/>
      <c r="H18" s="22"/>
      <c r="I18" s="18">
        <v>1</v>
      </c>
      <c r="J18" s="18"/>
      <c r="K18" s="18" t="s">
        <v>166</v>
      </c>
      <c r="L18" s="18"/>
      <c r="M18" s="18"/>
      <c r="N18" s="18"/>
      <c r="O18" s="18"/>
      <c r="P18" s="18"/>
      <c r="Q18" s="18"/>
      <c r="R18" s="18"/>
      <c r="S18" s="18"/>
      <c r="U18" s="21"/>
      <c r="V18" s="21"/>
      <c r="W18" s="21"/>
      <c r="X18" s="21"/>
      <c r="Y18" s="21"/>
    </row>
    <row r="19" spans="1:25" x14ac:dyDescent="0.25">
      <c r="A19" s="17"/>
      <c r="B19" s="18">
        <v>0</v>
      </c>
      <c r="C19" s="22" t="s">
        <v>198</v>
      </c>
      <c r="D19" s="22"/>
      <c r="E19" s="22"/>
      <c r="F19" s="22" t="s">
        <v>206</v>
      </c>
      <c r="G19" s="22"/>
      <c r="H19" s="22"/>
      <c r="I19" s="18">
        <v>1</v>
      </c>
      <c r="J19" s="18"/>
      <c r="K19" s="18" t="s">
        <v>166</v>
      </c>
      <c r="L19" s="18"/>
      <c r="M19" s="18"/>
      <c r="N19" s="18"/>
      <c r="O19" s="18"/>
      <c r="P19" s="18"/>
      <c r="Q19" s="18"/>
      <c r="R19" s="18"/>
      <c r="S19" s="18"/>
      <c r="U19" s="21"/>
      <c r="V19" s="21"/>
      <c r="W19" s="21"/>
      <c r="X19" s="21"/>
      <c r="Y19" s="21"/>
    </row>
    <row r="20" spans="1:25" x14ac:dyDescent="0.25">
      <c r="A20" s="17"/>
      <c r="B20" s="18">
        <v>0</v>
      </c>
      <c r="C20" s="22"/>
      <c r="D20" s="22"/>
      <c r="E20" s="22"/>
      <c r="F20" s="22" t="s">
        <v>207</v>
      </c>
      <c r="G20" s="22"/>
      <c r="H20" s="22"/>
      <c r="I20" s="18">
        <v>1</v>
      </c>
      <c r="J20" s="18"/>
      <c r="K20" s="18" t="s">
        <v>166</v>
      </c>
      <c r="L20" s="18"/>
      <c r="M20" s="18"/>
      <c r="N20" s="18"/>
      <c r="O20" s="18"/>
      <c r="P20" s="18"/>
      <c r="Q20" s="18"/>
      <c r="R20" s="18"/>
      <c r="S20" s="18"/>
      <c r="U20" s="21"/>
      <c r="V20" s="21"/>
      <c r="W20" s="21"/>
      <c r="X20" s="21"/>
      <c r="Y20" s="21"/>
    </row>
    <row r="21" spans="1:25" x14ac:dyDescent="0.25">
      <c r="A21" s="17"/>
      <c r="B21" s="18">
        <v>0</v>
      </c>
      <c r="C21" s="22" t="s">
        <v>199</v>
      </c>
      <c r="D21" s="22"/>
      <c r="E21" s="22"/>
      <c r="F21" s="22" t="s">
        <v>208</v>
      </c>
      <c r="G21" s="22"/>
      <c r="H21" s="22"/>
      <c r="I21" s="18">
        <v>1</v>
      </c>
      <c r="J21" s="18"/>
      <c r="K21" s="18" t="s">
        <v>166</v>
      </c>
      <c r="L21" s="18"/>
      <c r="M21" s="18"/>
      <c r="N21" s="18"/>
      <c r="O21" s="18"/>
      <c r="P21" s="18"/>
      <c r="Q21" s="18"/>
      <c r="R21" s="18"/>
      <c r="S21" s="18"/>
      <c r="U21" s="21"/>
      <c r="V21" s="21"/>
      <c r="W21" s="21"/>
      <c r="X21" s="21"/>
      <c r="Y21" s="21"/>
    </row>
    <row r="22" spans="1:25" x14ac:dyDescent="0.25">
      <c r="A22" s="17"/>
      <c r="B22" s="18">
        <v>0</v>
      </c>
      <c r="C22" s="22" t="s">
        <v>200</v>
      </c>
      <c r="D22" s="22"/>
      <c r="E22" s="22"/>
      <c r="F22" s="22"/>
      <c r="G22" s="22"/>
      <c r="H22" s="22"/>
      <c r="I22" s="18">
        <v>1</v>
      </c>
      <c r="J22" s="18"/>
      <c r="K22" s="18" t="s">
        <v>166</v>
      </c>
      <c r="L22" s="18"/>
      <c r="M22" s="18"/>
      <c r="N22" s="18"/>
      <c r="O22" s="18"/>
      <c r="P22" s="18"/>
      <c r="Q22" s="18"/>
      <c r="R22" s="18"/>
      <c r="S22" s="18"/>
      <c r="U22" s="21"/>
      <c r="V22" s="21"/>
      <c r="W22" s="21"/>
      <c r="X22" s="21"/>
      <c r="Y22" s="21"/>
    </row>
    <row r="23" spans="1:25" x14ac:dyDescent="0.25">
      <c r="A23" s="17"/>
      <c r="B23" s="18">
        <v>0</v>
      </c>
      <c r="C23" s="22" t="s">
        <v>201</v>
      </c>
      <c r="D23" s="22"/>
      <c r="E23" s="22"/>
      <c r="F23" s="22"/>
      <c r="G23" s="22"/>
      <c r="H23" s="22"/>
      <c r="I23" s="18">
        <v>1</v>
      </c>
      <c r="J23" s="18"/>
      <c r="K23" s="18" t="s">
        <v>166</v>
      </c>
      <c r="L23" s="18"/>
      <c r="M23" s="18"/>
      <c r="N23" s="18"/>
      <c r="O23" s="18"/>
      <c r="P23" s="18"/>
      <c r="Q23" s="18"/>
      <c r="R23" s="18"/>
      <c r="S23" s="18"/>
      <c r="U23" s="21"/>
      <c r="V23" s="21"/>
      <c r="W23" s="21"/>
      <c r="X23" s="21"/>
      <c r="Y23" s="21"/>
    </row>
    <row r="24" spans="1:25" x14ac:dyDescent="0.25">
      <c r="A24" s="17"/>
      <c r="B24" s="18">
        <v>0</v>
      </c>
      <c r="C24" s="22"/>
      <c r="D24" s="22"/>
      <c r="E24" s="22"/>
      <c r="F24" s="22"/>
      <c r="G24" s="22"/>
      <c r="H24" s="22"/>
      <c r="I24" s="18">
        <v>1</v>
      </c>
      <c r="J24" s="18"/>
      <c r="K24" s="18" t="s">
        <v>166</v>
      </c>
      <c r="L24" s="18"/>
      <c r="M24" s="18"/>
      <c r="N24" s="18"/>
      <c r="O24" s="18"/>
      <c r="P24" s="18"/>
      <c r="Q24" s="18"/>
      <c r="R24" s="18"/>
      <c r="S24" s="18"/>
      <c r="U24" s="21"/>
      <c r="V24" s="21"/>
      <c r="W24" s="21"/>
      <c r="X24" s="21"/>
      <c r="Y24" s="21"/>
    </row>
    <row r="25" spans="1:25" x14ac:dyDescent="0.25">
      <c r="A25" s="17"/>
      <c r="B25" s="18">
        <v>0</v>
      </c>
      <c r="C25" s="22"/>
      <c r="D25" s="22"/>
      <c r="E25" s="22"/>
      <c r="F25" s="22"/>
      <c r="G25" s="22"/>
      <c r="H25" s="22"/>
      <c r="I25" s="18">
        <v>1</v>
      </c>
      <c r="J25" s="18"/>
      <c r="K25" s="18" t="s">
        <v>166</v>
      </c>
      <c r="L25" s="18"/>
      <c r="M25" s="18"/>
      <c r="N25" s="18"/>
      <c r="O25" s="18"/>
      <c r="P25" s="18"/>
      <c r="Q25" s="18"/>
      <c r="R25" s="18"/>
      <c r="S25" s="18"/>
      <c r="U25" s="21"/>
      <c r="V25" s="21"/>
      <c r="W25" s="21"/>
      <c r="X25" s="21"/>
      <c r="Y25" s="21"/>
    </row>
    <row r="26" spans="1:25" x14ac:dyDescent="0.25">
      <c r="A26" s="17"/>
      <c r="B26" s="18">
        <v>0</v>
      </c>
      <c r="C26" s="22"/>
      <c r="D26" s="22"/>
      <c r="E26" s="22"/>
      <c r="F26" s="22"/>
      <c r="G26" s="22"/>
      <c r="H26" s="22"/>
      <c r="I26" s="18">
        <v>1</v>
      </c>
      <c r="J26" s="18"/>
      <c r="K26" s="18" t="s">
        <v>166</v>
      </c>
      <c r="L26" s="18"/>
      <c r="M26" s="18"/>
      <c r="N26" s="18"/>
      <c r="O26" s="18"/>
      <c r="P26" s="18"/>
      <c r="Q26" s="18"/>
      <c r="R26" s="18"/>
      <c r="S26" s="18"/>
      <c r="U26" s="21"/>
      <c r="V26" s="21"/>
      <c r="W26" s="21"/>
      <c r="X26" s="21"/>
      <c r="Y26" s="21"/>
    </row>
    <row r="27" spans="1:25" x14ac:dyDescent="0.25">
      <c r="A27" s="17"/>
      <c r="B27" s="18">
        <v>0</v>
      </c>
      <c r="C27" s="22"/>
      <c r="D27" s="22"/>
      <c r="E27" s="22"/>
      <c r="F27" s="22"/>
      <c r="G27" s="22"/>
      <c r="H27" s="22"/>
      <c r="I27" s="18">
        <v>1</v>
      </c>
      <c r="J27" s="18"/>
      <c r="K27" s="18" t="s">
        <v>166</v>
      </c>
      <c r="L27" s="18"/>
      <c r="M27" s="18"/>
      <c r="N27" s="18"/>
      <c r="O27" s="18"/>
      <c r="P27" s="18"/>
      <c r="Q27" s="18"/>
      <c r="R27" s="18"/>
      <c r="S27" s="18"/>
      <c r="U27" s="21"/>
      <c r="V27" s="21"/>
      <c r="W27" s="21"/>
      <c r="X27" s="21"/>
      <c r="Y27" s="21"/>
    </row>
    <row r="28" spans="1:25" x14ac:dyDescent="0.25">
      <c r="A28" s="17"/>
      <c r="B28" s="18">
        <v>0</v>
      </c>
      <c r="C28" s="22"/>
      <c r="D28" s="22"/>
      <c r="E28" s="22"/>
      <c r="F28" s="22"/>
      <c r="G28" s="22"/>
      <c r="H28" s="22"/>
      <c r="I28" s="18">
        <v>1</v>
      </c>
      <c r="J28" s="18"/>
      <c r="K28" s="18" t="s">
        <v>166</v>
      </c>
      <c r="L28" s="18"/>
      <c r="M28" s="18"/>
      <c r="N28" s="18"/>
      <c r="O28" s="18"/>
      <c r="P28" s="18"/>
      <c r="Q28" s="18"/>
      <c r="R28" s="18"/>
      <c r="S28" s="18"/>
      <c r="U28" s="21"/>
      <c r="V28" s="21"/>
      <c r="W28" s="21"/>
      <c r="X28" s="21"/>
      <c r="Y28" s="21"/>
    </row>
    <row r="29" spans="1:25" x14ac:dyDescent="0.25">
      <c r="A29" s="17"/>
      <c r="B29" s="18">
        <v>0</v>
      </c>
      <c r="C29" s="22"/>
      <c r="D29" s="22"/>
      <c r="E29" s="22"/>
      <c r="F29" s="22"/>
      <c r="G29" s="22"/>
      <c r="H29" s="22"/>
      <c r="I29" s="18">
        <v>1</v>
      </c>
      <c r="J29" s="18"/>
      <c r="K29" s="18" t="s">
        <v>166</v>
      </c>
      <c r="L29" s="18"/>
      <c r="M29" s="18"/>
      <c r="N29" s="18"/>
      <c r="O29" s="18"/>
      <c r="P29" s="18"/>
      <c r="Q29" s="18"/>
      <c r="R29" s="18"/>
      <c r="S29" s="18"/>
      <c r="U29" s="21"/>
      <c r="V29" s="21"/>
      <c r="W29" s="21"/>
      <c r="X29" s="21"/>
      <c r="Y29" s="21"/>
    </row>
    <row r="30" spans="1:25" x14ac:dyDescent="0.25">
      <c r="A30" s="17"/>
      <c r="B30" s="18">
        <v>0</v>
      </c>
      <c r="C30" s="18"/>
      <c r="D30" s="18"/>
      <c r="E30" s="18"/>
      <c r="F30" s="18"/>
      <c r="G30" s="18"/>
      <c r="H30" s="18"/>
      <c r="I30" s="18">
        <v>1</v>
      </c>
      <c r="J30" s="18"/>
      <c r="K30" s="18" t="s">
        <v>166</v>
      </c>
      <c r="L30" s="18"/>
      <c r="M30" s="18"/>
      <c r="N30" s="18"/>
      <c r="O30" s="18"/>
      <c r="P30" s="18"/>
      <c r="Q30" s="18"/>
      <c r="R30" s="18"/>
      <c r="S30" s="18"/>
      <c r="U30" s="21"/>
      <c r="V30" s="21"/>
      <c r="W30" s="21"/>
      <c r="X30" s="21"/>
      <c r="Y30" s="21"/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33"/>
  <sheetViews>
    <sheetView workbookViewId="0">
      <selection activeCell="J13" sqref="J13"/>
    </sheetView>
  </sheetViews>
  <sheetFormatPr defaultRowHeight="15" x14ac:dyDescent="0.25"/>
  <sheetData>
    <row r="1" spans="1:26" x14ac:dyDescent="0.25">
      <c r="A1" s="33" t="s">
        <v>146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</row>
    <row r="2" spans="1:26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</row>
    <row r="3" spans="1:26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</row>
    <row r="4" spans="1:26" x14ac:dyDescent="0.25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</row>
    <row r="5" spans="1:26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</row>
    <row r="6" spans="1:26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</row>
    <row r="7" spans="1:26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</row>
    <row r="8" spans="1:26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</row>
    <row r="9" spans="1:26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</row>
    <row r="10" spans="1:26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</row>
    <row r="11" spans="1:26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</row>
    <row r="12" spans="1:26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</row>
    <row r="13" spans="1:26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</row>
    <row r="14" spans="1:26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</row>
    <row r="15" spans="1:26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</row>
    <row r="16" spans="1:26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</row>
    <row r="17" spans="1:26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</row>
    <row r="18" spans="1:26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</row>
    <row r="19" spans="1:26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</row>
    <row r="20" spans="1:26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</row>
    <row r="21" spans="1:26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</row>
    <row r="22" spans="1:26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</row>
    <row r="23" spans="1:26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</row>
    <row r="24" spans="1:26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</row>
    <row r="25" spans="1:26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</row>
    <row r="26" spans="1:26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</row>
    <row r="28" spans="1:26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</row>
    <row r="29" spans="1:26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</row>
    <row r="30" spans="1:26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</row>
    <row r="31" spans="1:26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</row>
    <row r="32" spans="1:26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</row>
    <row r="33" spans="1:26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</row>
  </sheetData>
  <mergeCells count="1">
    <mergeCell ref="A1:Z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6284D7C-9D63-461C-B33C-BB3507EB77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Character Stat Sheet</vt:lpstr>
      <vt:lpstr>SoulStrikerData1</vt:lpstr>
      <vt:lpstr>Spell Builder v1.0</vt:lpstr>
      <vt:lpstr>Using the spell builder</vt:lpstr>
      <vt:lpstr>Descriptions and other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Zahariadis</dc:creator>
  <cp:lastModifiedBy>Calum Hapugasdeniya</cp:lastModifiedBy>
  <dcterms:created xsi:type="dcterms:W3CDTF">2023-09-01T11:37:00Z</dcterms:created>
  <dcterms:modified xsi:type="dcterms:W3CDTF">2024-01-03T12:34:03Z</dcterms:modified>
</cp:coreProperties>
</file>